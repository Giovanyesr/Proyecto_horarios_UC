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Ejecutivo" sheetId="1" state="visible" r:id="rId3"/>
    <sheet name="Recursos Humanos" sheetId="2" state="visible" r:id="rId4"/>
    <sheet name="Infraestructura" sheetId="3" state="visible" r:id="rId5"/>
    <sheet name="Costos Indirectos" sheetId="4" state="visible" r:id="rId6"/>
    <sheet name="Costo por Sprint" sheetId="5" state="visible" r:id="rId7"/>
    <sheet name="Green Softwar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<sst xmlns="http://schemas.openxmlformats.org/spreadsheetml/2006/main" count="163" uniqueCount="152">
  <si>
    <t xml:space="preserve">PRESUPUESTO DEL PROYECTO — SGOHA</t>
  </si>
  <si>
    <t xml:space="preserve">Sistema de Generación Óptima de Horarios Académicos | Universidad Continental | 2026</t>
  </si>
  <si>
    <t xml:space="preserve">INFORMACIÓN GENERAL DEL PROYECTO</t>
  </si>
  <si>
    <t xml:space="preserve">Proyecto</t>
  </si>
  <si>
    <t xml:space="preserve">SGOHA – Generación Óptima de Horarios Académicos</t>
  </si>
  <si>
    <t xml:space="preserve">Equipo</t>
  </si>
  <si>
    <t xml:space="preserve">Sanchez Ramos, Giovany / Calderon Aliaga, Kenedy</t>
  </si>
  <si>
    <t xml:space="preserve">Metodología</t>
  </si>
  <si>
    <t xml:space="preserve">Scrum – Spec-Driven Development (SDD)</t>
  </si>
  <si>
    <t xml:space="preserve">Fecha de inicio</t>
  </si>
  <si>
    <t xml:space="preserve">23/03/2026</t>
  </si>
  <si>
    <t xml:space="preserve">Fecha de fin estimada</t>
  </si>
  <si>
    <t xml:space="preserve">01/06/2026</t>
  </si>
  <si>
    <t xml:space="preserve">Duración total</t>
  </si>
  <si>
    <t xml:space="preserve">10 semanas</t>
  </si>
  <si>
    <t xml:space="preserve">Número de Sprints</t>
  </si>
  <si>
    <t xml:space="preserve">5 (Sprint 0 al Sprint 4)</t>
  </si>
  <si>
    <t xml:space="preserve">Moneda</t>
  </si>
  <si>
    <t xml:space="preserve">Soles peruanos (PEN / S/.)</t>
  </si>
  <si>
    <t xml:space="preserve">RESUMEN DE COSTOS POR CATEGORÍA</t>
  </si>
  <si>
    <t xml:space="preserve">Categoría</t>
  </si>
  <si>
    <t xml:space="preserve">Costo Total (S/.)</t>
  </si>
  <si>
    <t xml:space="preserve">% del Presupuesto</t>
  </si>
  <si>
    <t xml:space="preserve">Referencia</t>
  </si>
  <si>
    <t xml:space="preserve">Recursos Humanos</t>
  </si>
  <si>
    <t xml:space="preserve">Ver hoja RRHH</t>
  </si>
  <si>
    <t xml:space="preserve">Infraestructura Tech.</t>
  </si>
  <si>
    <t xml:space="preserve">Ver hoja Infraestructura</t>
  </si>
  <si>
    <t xml:space="preserve">Costos Indirectos</t>
  </si>
  <si>
    <t xml:space="preserve">Ver hoja Costos Indirectos</t>
  </si>
  <si>
    <t xml:space="preserve">TOTAL PRESUPUESTO</t>
  </si>
  <si>
    <t xml:space="preserve">Costo total del proyecto</t>
  </si>
  <si>
    <t xml:space="preserve">COSTOS DE RECURSOS HUMANOS</t>
  </si>
  <si>
    <t xml:space="preserve">Integrante / Rol</t>
  </si>
  <si>
    <t xml:space="preserve">Actividad Principal</t>
  </si>
  <si>
    <t xml:space="preserve">Sprint 0
(2 sem)</t>
  </si>
  <si>
    <t xml:space="preserve">Sprint 1
(2 sem)</t>
  </si>
  <si>
    <t xml:space="preserve">Sprint 2
(3 sem)</t>
  </si>
  <si>
    <t xml:space="preserve">Sprint 3
(3 sem)</t>
  </si>
  <si>
    <t xml:space="preserve">Sprint 4
(2 sem)</t>
  </si>
  <si>
    <t xml:space="preserve">Total Horas</t>
  </si>
  <si>
    <t xml:space="preserve">Sanchez Ramos, Giovany
(Desarrollador Full-Stack / Scrum Master)</t>
  </si>
  <si>
    <t xml:space="preserve">Arquitectura, Backend CSP, Coordinación Scrum</t>
  </si>
  <si>
    <t xml:space="preserve">Documentación SDD, Especificaciones, README</t>
  </si>
  <si>
    <t xml:space="preserve">Calderon Aliaga, Kenedy
(Desarrollador Full-Stack / QA)</t>
  </si>
  <si>
    <t xml:space="preserve">Frontend React/TypeScript, Portal Alumno</t>
  </si>
  <si>
    <t xml:space="preserve">Pruebas TDD, Integración, Revisión PR</t>
  </si>
  <si>
    <t xml:space="preserve">TOTAL</t>
  </si>
  <si>
    <t xml:space="preserve">* Tarifa horaria base: S/. 12.00/hora (Desarrollador Junior — mercado Huancayo, 2026)</t>
  </si>
  <si>
    <t xml:space="preserve">COSTOS DE INFRAESTRUCTURA TECNOLÓGICA</t>
  </si>
  <si>
    <t xml:space="preserve">Componente</t>
  </si>
  <si>
    <t xml:space="preserve">Tipo</t>
  </si>
  <si>
    <t xml:space="preserve">Costo Mensual (S/.)</t>
  </si>
  <si>
    <t xml:space="preserve">Meses en Proyecto</t>
  </si>
  <si>
    <t xml:space="preserve">MongoDB Atlas (M0 Free Tier)</t>
  </si>
  <si>
    <t xml:space="preserve">Base de Datos Cloud</t>
  </si>
  <si>
    <t xml:space="preserve">Vercel (Frontend Deploy)</t>
  </si>
  <si>
    <t xml:space="preserve">Hosting Frontend</t>
  </si>
  <si>
    <t xml:space="preserve">Render.com (Backend Free)</t>
  </si>
  <si>
    <t xml:space="preserve">Hosting Backend</t>
  </si>
  <si>
    <t xml:space="preserve">GitHub (repositorio privado)</t>
  </si>
  <si>
    <t xml:space="preserve">Control de versiones</t>
  </si>
  <si>
    <t xml:space="preserve">VS Code + extensiones</t>
  </si>
  <si>
    <t xml:space="preserve">IDE / Herramientas Dev</t>
  </si>
  <si>
    <t xml:space="preserve">Node.js + npm ecosystem</t>
  </si>
  <si>
    <t xml:space="preserve">Runtime / Dependencias</t>
  </si>
  <si>
    <t xml:space="preserve">Postman (API testing)</t>
  </si>
  <si>
    <t xml:space="preserve">Testing herramienta</t>
  </si>
  <si>
    <t xml:space="preserve">Equipos de cómputo personales
(2 laptops, depreciación 3 meses)</t>
  </si>
  <si>
    <t xml:space="preserve">Hardware (depreciación)</t>
  </si>
  <si>
    <t xml:space="preserve">Conexión a Internet (2 usuarios)</t>
  </si>
  <si>
    <t xml:space="preserve">Conectividad</t>
  </si>
  <si>
    <t xml:space="preserve">Electricidad estimada (2 equipos)</t>
  </si>
  <si>
    <t xml:space="preserve">Servicios básicos</t>
  </si>
  <si>
    <t xml:space="preserve">Licencia Windows / herramientas
(proporcional al proyecto)</t>
  </si>
  <si>
    <t xml:space="preserve">Licencias</t>
  </si>
  <si>
    <t xml:space="preserve">TOTAL INFRAESTRUCTURA</t>
  </si>
  <si>
    <t xml:space="preserve">* Herramientas con costo S/. 0.00 utilizan planes gratuitos disponibles al momento del proyecto.</t>
  </si>
  <si>
    <t xml:space="preserve">COSTOS INDIRECTOS DEL PROYECTO</t>
  </si>
  <si>
    <t xml:space="preserve">Concepto</t>
  </si>
  <si>
    <t xml:space="preserve">Descripción</t>
  </si>
  <si>
    <t xml:space="preserve">Frecuencia / Base</t>
  </si>
  <si>
    <t xml:space="preserve">Costo Estimado (S/.)</t>
  </si>
  <si>
    <t xml:space="preserve">Transporte y reuniones de equipo</t>
  </si>
  <si>
    <t xml:space="preserve">Movilidad para coordinación presencial entre integrantes</t>
  </si>
  <si>
    <t xml:space="preserve">2 veces/semana × 10 sem × S/. 3</t>
  </si>
  <si>
    <t xml:space="preserve">Impresión de documentación</t>
  </si>
  <si>
    <t xml:space="preserve">Impresión de entregables, rúbricas y especificaciones</t>
  </si>
  <si>
    <t xml:space="preserve">Estimado global del proyecto</t>
  </si>
  <si>
    <t xml:space="preserve">Capacitación / cursos en línea</t>
  </si>
  <si>
    <t xml:space="preserve">Tutoriales, documentación técnica de algoritmos CSP</t>
  </si>
  <si>
    <t xml:space="preserve">Recursos gratuitos + subscripción puntual</t>
  </si>
  <si>
    <t xml:space="preserve">Margen de contingencia (10%)</t>
  </si>
  <si>
    <t xml:space="preserve">Reserva para imprevistos y ajustes de alcance</t>
  </si>
  <si>
    <t xml:space="preserve">10% sobre RRHH + Infraestructura</t>
  </si>
  <si>
    <t xml:space="preserve">Tiempo de coordinación no productiva</t>
  </si>
  <si>
    <t xml:space="preserve">Reuniones de seguimiento, dailys, retrospectivas Scrum</t>
  </si>
  <si>
    <t xml:space="preserve">Valorizado a S/. 12/h × 20h totales estimadas</t>
  </si>
  <si>
    <t xml:space="preserve">Costo de presentación final</t>
  </si>
  <si>
    <t xml:space="preserve">Materiales para exposición, demo en vivo, diapositivas</t>
  </si>
  <si>
    <t xml:space="preserve">Estimado global</t>
  </si>
  <si>
    <t xml:space="preserve">Overhead académico</t>
  </si>
  <si>
    <t xml:space="preserve">Tiempo dedicado a documentación universitaria obligatoria</t>
  </si>
  <si>
    <t xml:space="preserve">Valorizado a S/. 10/h × 15h estimadas</t>
  </si>
  <si>
    <t xml:space="preserve">TOTAL COSTOS INDIRECTOS</t>
  </si>
  <si>
    <t xml:space="preserve">EVOLUCIÓN DE COSTOS POR SPRINT</t>
  </si>
  <si>
    <t xml:space="preserve">Sprint</t>
  </si>
  <si>
    <t xml:space="preserve">Período</t>
  </si>
  <si>
    <t xml:space="preserve">Costo RRHH (S/.)</t>
  </si>
  <si>
    <t xml:space="preserve">Costo Infra (S/.)</t>
  </si>
  <si>
    <t xml:space="preserve">Costo Indirecto (S/.)</t>
  </si>
  <si>
    <t xml:space="preserve">Costo Sprint (S/.)</t>
  </si>
  <si>
    <t xml:space="preserve">Costo Acumulado (S/.)</t>
  </si>
  <si>
    <t xml:space="preserve">Sprint 0</t>
  </si>
  <si>
    <t xml:space="preserve">23/03 – 05/04/2026</t>
  </si>
  <si>
    <t xml:space="preserve">Sprint 1</t>
  </si>
  <si>
    <t xml:space="preserve">06/04 – 19/04/2026</t>
  </si>
  <si>
    <t xml:space="preserve">Sprint 2</t>
  </si>
  <si>
    <t xml:space="preserve">20/04 – 10/05/2026</t>
  </si>
  <si>
    <t xml:space="preserve">Sprint 3</t>
  </si>
  <si>
    <t xml:space="preserve">11/05 – 31/05/2026</t>
  </si>
  <si>
    <t xml:space="preserve">Sprint 4</t>
  </si>
  <si>
    <t xml:space="preserve">ANÁLISIS DE SOSTENIBILIDAD — GREEN SOFTWARE</t>
  </si>
  <si>
    <t xml:space="preserve">Evaluación del impacto ambiental y estrategias de eficiencia energética del SGOHA</t>
  </si>
  <si>
    <t xml:space="preserve">Principio Green Software</t>
  </si>
  <si>
    <t xml:space="preserve">Estrategia Aplicada en SGOHA</t>
  </si>
  <si>
    <t xml:space="preserve">Estado</t>
  </si>
  <si>
    <t xml:space="preserve">Impacto Estimado</t>
  </si>
  <si>
    <t xml:space="preserve">Eficiencia energética
(Energy Efficiency)</t>
  </si>
  <si>
    <t xml:space="preserve">Uso de MongoDB Atlas Free Tier y Vercel/Render gratuitos: servidores compartidos optimizan consumo vs. servidor dedicado propio.</t>
  </si>
  <si>
    <t xml:space="preserve">✅ Implementado</t>
  </si>
  <si>
    <t xml:space="preserve">Reducción ~70% consumo vs. servidor físico propio</t>
  </si>
  <si>
    <t xml:space="preserve">Hardware eficiente
(Hardware Efficiency)</t>
  </si>
  <si>
    <t xml:space="preserve">El algoritmo CSP con AC-3 reduce el espacio de búsqueda antes del backtracking, minimizando ciclos de CPU y tiempo de cómputo.</t>
  </si>
  <si>
    <t xml:space="preserve">Reducción del espacio de búsqueda hasta 60% con AC-3</t>
  </si>
  <si>
    <t xml:space="preserve">Demanda ajustable
(Carbon Awareness)</t>
  </si>
  <si>
    <t xml:space="preserve">El proceso de generación de horarios se ejecuta bajo demanda explícita del administrador, no en background continuo.</t>
  </si>
  <si>
    <t xml:space="preserve">Sin consumo base innecesario en servidor</t>
  </si>
  <si>
    <t xml:space="preserve">Medición de rendimiento
(Measurement)</t>
  </si>
  <si>
    <t xml:space="preserve">El sistema reporta tiempo de ejecución del algoritmo CSP (executionTimeMs) y número de backtrackings, permitiendo optimizar iteraciones.</t>
  </si>
  <si>
    <t xml:space="preserve">Visibilidad de eficiencia computacional por generación</t>
  </si>
  <si>
    <t xml:space="preserve">Minimizar transferencia de datos
(Network Efficiency)</t>
  </si>
  <si>
    <t xml:space="preserve">La API REST retorna solo los campos necesarios por endpoint. El frontend usa Zustand para cachear estado y evitar peticiones redundantes.</t>
  </si>
  <si>
    <t xml:space="preserve">Reducción de payload estimada en 40%</t>
  </si>
  <si>
    <t xml:space="preserve">Escalabilidad sostenible
(Scalability)</t>
  </si>
  <si>
    <t xml:space="preserve">Arquitectura MERN permite escalar horizontalmente solo cuando la demanda lo requiera, sin sobredimensionar desde el inicio.</t>
  </si>
  <si>
    <t xml:space="preserve">🔄 Planificado</t>
  </si>
  <si>
    <t xml:space="preserve">Evita costos de sobre-aprovisionamiento</t>
  </si>
  <si>
    <t xml:space="preserve">Código limpio y mantenible
(Software Quality)</t>
  </si>
  <si>
    <t xml:space="preserve">Pruebas TDD con cobertura &gt;70% reducen bugs, evitando ciclos de depuración costosos en energía y tiempo de desarrollo.</t>
  </si>
  <si>
    <t xml:space="preserve">Menor deuda técnica = menor energía a largo plazo</t>
  </si>
  <si>
    <t xml:space="preserve">Conclusión: El SGOHA adopta prácticas Green Software en su etapa de desarrollo académico mediante el uso de infraestructura gratuita de bajo consumo, algoritmos computacionalmente eficientes (AC-3 + MRV + LCV), ejecución bajo demanda y código de alta cobertura que reduce retrabajo energético. El costo ambiental del proyecto es mínimo comparado con sistemas equivalentes sobre infraestructura física dedicada.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</si>
</sst>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i val="true"/>
      <sz val="10"/>
      <color rgb="FF375623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70C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375623"/>
        <bgColor rgb="FF40404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6" t="s">
        <v>4</v>
      </c>
      <c r="C5" s="6"/>
      <c r="D5" s="6"/>
      <c r="E5" s="6"/>
    </row>
    <row r="6" customFormat="false" ht="15" hidden="false" customHeight="true" outlineLevel="0" collapsed="false">
      <c r="A6" s="7" t="s">
        <v>5</v>
      </c>
      <c r="B6" s="8" t="s">
        <v>6</v>
      </c>
      <c r="C6" s="8"/>
      <c r="D6" s="8"/>
      <c r="E6" s="8"/>
    </row>
    <row r="7" customFormat="false" ht="15" hidden="false" customHeight="true" outlineLevel="0" collapsed="false">
      <c r="A7" s="5" t="s">
        <v>7</v>
      </c>
      <c r="B7" s="6" t="s">
        <v>8</v>
      </c>
      <c r="C7" s="6"/>
      <c r="D7" s="6"/>
      <c r="E7" s="6"/>
    </row>
    <row r="8" customFormat="false" ht="15" hidden="false" customHeight="true" outlineLevel="0" collapsed="false">
      <c r="A8" s="7" t="s">
        <v>9</v>
      </c>
      <c r="B8" s="8" t="s">
        <v>10</v>
      </c>
      <c r="C8" s="8"/>
      <c r="D8" s="8"/>
      <c r="E8" s="8"/>
    </row>
    <row r="9" customFormat="false" ht="15" hidden="false" customHeight="true" outlineLevel="0" collapsed="false">
      <c r="A9" s="5" t="s">
        <v>11</v>
      </c>
      <c r="B9" s="6" t="s">
        <v>12</v>
      </c>
      <c r="C9" s="6"/>
      <c r="D9" s="6"/>
      <c r="E9" s="6"/>
    </row>
    <row r="10" customFormat="false" ht="15" hidden="false" customHeight="true" outlineLevel="0" collapsed="false">
      <c r="A10" s="7" t="s">
        <v>13</v>
      </c>
      <c r="B10" s="8" t="s">
        <v>14</v>
      </c>
      <c r="C10" s="8"/>
      <c r="D10" s="8"/>
      <c r="E10" s="8"/>
    </row>
    <row r="11" customFormat="false" ht="15" hidden="false" customHeight="true" outlineLevel="0" collapsed="false">
      <c r="A11" s="5" t="s">
        <v>15</v>
      </c>
      <c r="B11" s="6" t="s">
        <v>16</v>
      </c>
      <c r="C11" s="6"/>
      <c r="D11" s="6"/>
      <c r="E11" s="6"/>
    </row>
    <row r="12" customFormat="false" ht="15" hidden="false" customHeight="true" outlineLevel="0" collapsed="false">
      <c r="A12" s="7" t="s">
        <v>17</v>
      </c>
      <c r="B12" s="8" t="s">
        <v>18</v>
      </c>
      <c r="C12" s="8"/>
      <c r="D12" s="8"/>
      <c r="E12" s="8"/>
    </row>
    <row r="13" customFormat="false" ht="7.5" hidden="false" customHeight="true" outlineLevel="0" collapsed="false"/>
    <row r="14" customFormat="false" ht="21.75" hidden="false" customHeight="true" outlineLevel="0" collapsed="false">
      <c r="A14" s="4" t="s">
        <v>19</v>
      </c>
      <c r="B14" s="4"/>
      <c r="C14" s="4"/>
      <c r="D14" s="4"/>
      <c r="E14" s="4"/>
    </row>
    <row r="15" customFormat="false" ht="19.5" hidden="false" customHeight="true" outlineLevel="0" collapsed="false">
      <c r="A15" s="9" t="s">
        <v>20</v>
      </c>
      <c r="B15" s="9" t="s">
        <v>21</v>
      </c>
      <c r="C15" s="9" t="s">
        <v>22</v>
      </c>
      <c r="D15" s="9" t="s">
        <v>23</v>
      </c>
      <c r="E15" s="10"/>
    </row>
    <row r="16" customFormat="false" ht="15" hidden="false" customHeight="true" outlineLevel="0" collapsed="false">
      <c r="A16" s="7" t="s">
        <v>24</v>
      </c>
      <c r="B16" s="11" t="str">
        <f aca="false">'Recursos Humanos'!I2</f>
        <v>Costo Total (S/.)</v>
      </c>
      <c r="C16" s="12" t="n">
        <f aca="false">IFERROR(B16/B19,0)</f>
        <v>0</v>
      </c>
      <c r="D16" s="8" t="s">
        <v>25</v>
      </c>
      <c r="E16" s="10"/>
    </row>
    <row r="17" customFormat="false" ht="15" hidden="false" customHeight="true" outlineLevel="0" collapsed="false">
      <c r="A17" s="5" t="s">
        <v>26</v>
      </c>
      <c r="B17" s="13" t="n">
        <f aca="false">Infraestructura!D14</f>
        <v>0</v>
      </c>
      <c r="C17" s="14" t="n">
        <f aca="false">IFERROR(B17/B19,0)</f>
        <v>0</v>
      </c>
      <c r="D17" s="6" t="s">
        <v>27</v>
      </c>
      <c r="E17" s="10"/>
    </row>
    <row r="18" customFormat="false" ht="15" hidden="false" customHeight="true" outlineLevel="0" collapsed="false">
      <c r="A18" s="7" t="s">
        <v>28</v>
      </c>
      <c r="B18" s="11" t="n">
        <f aca="false">'Costos Indirectos'!C12</f>
        <v>0</v>
      </c>
      <c r="C18" s="12" t="n">
        <f aca="false">IFERROR(B18/B19,0)</f>
        <v>0</v>
      </c>
      <c r="D18" s="8" t="s">
        <v>29</v>
      </c>
      <c r="E18" s="10"/>
    </row>
    <row r="19" customFormat="false" ht="15" hidden="false" customHeight="true" outlineLevel="0" collapsed="false">
      <c r="A19" s="15" t="s">
        <v>30</v>
      </c>
      <c r="B19" s="16" t="n">
        <f aca="false">SUM(B16:B18)</f>
        <v>0</v>
      </c>
      <c r="C19" s="17" t="n">
        <f aca="false">IFERROR(B19/B19,0)</f>
        <v>0</v>
      </c>
      <c r="D19" s="18" t="s">
        <v>31</v>
      </c>
      <c r="E19" s="19"/>
    </row>
  </sheetData>
  <mergeCells count="12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B12:E1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8" min="3" style="1" width="12"/>
    <col collapsed="false" customWidth="true" hidden="false" outlineLevel="0" max="9" min="9" style="1" width="16"/>
  </cols>
  <sheetData>
    <row r="1" customFormat="false" ht="30" hidden="false" customHeight="true" outlineLevel="0" collapsed="false">
      <c r="A1" s="20" t="s">
        <v>32</v>
      </c>
      <c r="B1" s="20"/>
      <c r="C1" s="20"/>
      <c r="D1" s="20"/>
      <c r="E1" s="20"/>
      <c r="F1" s="20"/>
      <c r="G1" s="20"/>
      <c r="H1" s="20"/>
      <c r="I1" s="20"/>
    </row>
    <row r="2" customFormat="false" ht="36" hidden="false" customHeight="true" outlineLevel="0" collapsed="false">
      <c r="A2" s="21" t="s">
        <v>33</v>
      </c>
      <c r="B2" s="21" t="s">
        <v>34</v>
      </c>
      <c r="C2" s="21" t="s">
        <v>35</v>
      </c>
      <c r="D2" s="21" t="s">
        <v>36</v>
      </c>
      <c r="E2" s="21" t="s">
        <v>37</v>
      </c>
      <c r="F2" s="21" t="s">
        <v>38</v>
      </c>
      <c r="G2" s="21" t="s">
        <v>39</v>
      </c>
      <c r="H2" s="21" t="s">
        <v>40</v>
      </c>
      <c r="I2" s="21" t="s">
        <v>21</v>
      </c>
    </row>
    <row r="3" customFormat="false" ht="34.5" hidden="false" customHeight="true" outlineLevel="0" collapsed="false">
      <c r="A3" s="5" t="s">
        <v>41</v>
      </c>
      <c r="B3" s="6" t="s">
        <v>42</v>
      </c>
      <c r="C3" s="22" t="n">
        <v>20</v>
      </c>
      <c r="D3" s="22" t="n">
        <v>16</v>
      </c>
      <c r="E3" s="22" t="n">
        <v>30</v>
      </c>
      <c r="F3" s="22" t="n">
        <v>24</v>
      </c>
      <c r="G3" s="22" t="n">
        <v>18</v>
      </c>
      <c r="H3" s="23" t="n">
        <f aca="false">SUM(C3:G3)</f>
        <v>108</v>
      </c>
      <c r="I3" s="13" t="n">
        <f aca="false">H3*12</f>
        <v>1296</v>
      </c>
    </row>
    <row r="4" customFormat="false" ht="34.5" hidden="false" customHeight="true" outlineLevel="0" collapsed="false">
      <c r="A4" s="7" t="s">
        <v>41</v>
      </c>
      <c r="B4" s="8" t="s">
        <v>43</v>
      </c>
      <c r="C4" s="24" t="n">
        <v>10</v>
      </c>
      <c r="D4" s="24" t="n">
        <v>8</v>
      </c>
      <c r="E4" s="24" t="n">
        <v>6</v>
      </c>
      <c r="F4" s="24" t="n">
        <v>6</v>
      </c>
      <c r="G4" s="24" t="n">
        <v>8</v>
      </c>
      <c r="H4" s="25" t="n">
        <f aca="false">SUM(C4:G4)</f>
        <v>38</v>
      </c>
      <c r="I4" s="11" t="n">
        <f aca="false">H4*12</f>
        <v>456</v>
      </c>
    </row>
    <row r="5" customFormat="false" ht="34.5" hidden="false" customHeight="true" outlineLevel="0" collapsed="false">
      <c r="A5" s="5" t="s">
        <v>44</v>
      </c>
      <c r="B5" s="6" t="s">
        <v>45</v>
      </c>
      <c r="C5" s="22" t="n">
        <v>8</v>
      </c>
      <c r="D5" s="22" t="n">
        <v>18</v>
      </c>
      <c r="E5" s="22" t="n">
        <v>24</v>
      </c>
      <c r="F5" s="22" t="n">
        <v>30</v>
      </c>
      <c r="G5" s="22" t="n">
        <v>14</v>
      </c>
      <c r="H5" s="23" t="n">
        <f aca="false">SUM(C5:G5)</f>
        <v>94</v>
      </c>
      <c r="I5" s="13" t="n">
        <f aca="false">H5*12</f>
        <v>1128</v>
      </c>
    </row>
    <row r="6" customFormat="false" ht="34.5" hidden="false" customHeight="true" outlineLevel="0" collapsed="false">
      <c r="A6" s="7" t="s">
        <v>44</v>
      </c>
      <c r="B6" s="8" t="s">
        <v>46</v>
      </c>
      <c r="C6" s="24" t="n">
        <v>8</v>
      </c>
      <c r="D6" s="24" t="n">
        <v>10</v>
      </c>
      <c r="E6" s="24" t="n">
        <v>16</v>
      </c>
      <c r="F6" s="24" t="n">
        <v>14</v>
      </c>
      <c r="G6" s="24" t="n">
        <v>14</v>
      </c>
      <c r="H6" s="25" t="n">
        <f aca="false">SUM(C6:G6)</f>
        <v>62</v>
      </c>
      <c r="I6" s="11" t="n">
        <f aca="false">H6*12</f>
        <v>744</v>
      </c>
    </row>
    <row r="7" customFormat="false" ht="15" hidden="false" customHeight="true" outlineLevel="0" collapsed="false">
      <c r="A7" s="26" t="s">
        <v>47</v>
      </c>
      <c r="B7" s="26"/>
      <c r="C7" s="27" t="n">
        <f aca="false">SUM(C3:C6)</f>
        <v>46</v>
      </c>
      <c r="D7" s="27" t="n">
        <f aca="false">SUM(D3:D6)</f>
        <v>52</v>
      </c>
      <c r="E7" s="27" t="n">
        <f aca="false">SUM(E3:E6)</f>
        <v>76</v>
      </c>
      <c r="F7" s="27" t="n">
        <f aca="false">SUM(F3:F6)</f>
        <v>74</v>
      </c>
      <c r="G7" s="27" t="n">
        <f aca="false">SUM(G3:G6)</f>
        <v>54</v>
      </c>
      <c r="H7" s="27" t="n">
        <f aca="false">SUM(H3:H6)</f>
        <v>302</v>
      </c>
      <c r="I7" s="28" t="n">
        <f aca="false">SUM(I3:I6)</f>
        <v>3624</v>
      </c>
    </row>
    <row r="9" customFormat="false" ht="15" hidden="false" customHeight="true" outlineLevel="0" collapsed="false">
      <c r="A9" s="29" t="s">
        <v>48</v>
      </c>
      <c r="B9" s="29"/>
      <c r="C9" s="29"/>
      <c r="D9" s="29"/>
      <c r="E9" s="29"/>
      <c r="F9" s="29"/>
      <c r="G9" s="29"/>
      <c r="H9" s="29"/>
      <c r="I9" s="29"/>
    </row>
  </sheetData>
  <mergeCells count="2">
    <mergeCell ref="A1:I1"/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5" min="5" style="1" width="20"/>
  </cols>
  <sheetData>
    <row r="1" customFormat="false" ht="30" hidden="false" customHeight="true" outlineLevel="0" collapsed="false">
      <c r="A1" s="20" t="s">
        <v>49</v>
      </c>
      <c r="B1" s="20"/>
      <c r="C1" s="20"/>
      <c r="D1" s="20"/>
      <c r="E1" s="20"/>
    </row>
    <row r="2" customFormat="false" ht="21.75" hidden="false" customHeight="true" outlineLevel="0" collapsed="false">
      <c r="A2" s="30" t="s">
        <v>50</v>
      </c>
      <c r="B2" s="30" t="s">
        <v>51</v>
      </c>
      <c r="C2" s="30" t="s">
        <v>52</v>
      </c>
      <c r="D2" s="30" t="s">
        <v>53</v>
      </c>
      <c r="E2" s="30" t="s">
        <v>21</v>
      </c>
    </row>
    <row r="3" customFormat="false" ht="15" hidden="false" customHeight="true" outlineLevel="0" collapsed="false">
      <c r="A3" s="6" t="s">
        <v>54</v>
      </c>
      <c r="B3" s="6" t="s">
        <v>55</v>
      </c>
      <c r="C3" s="31" t="n">
        <v>0</v>
      </c>
      <c r="D3" s="22" t="n">
        <v>3</v>
      </c>
      <c r="E3" s="13" t="n">
        <f aca="false">C3*D3</f>
        <v>0</v>
      </c>
    </row>
    <row r="4" customFormat="false" ht="15" hidden="false" customHeight="true" outlineLevel="0" collapsed="false">
      <c r="A4" s="8" t="s">
        <v>56</v>
      </c>
      <c r="B4" s="8" t="s">
        <v>57</v>
      </c>
      <c r="C4" s="32" t="n">
        <v>0</v>
      </c>
      <c r="D4" s="24" t="n">
        <v>3</v>
      </c>
      <c r="E4" s="11" t="n">
        <f aca="false">C4*D4</f>
        <v>0</v>
      </c>
    </row>
    <row r="5" customFormat="false" ht="15" hidden="false" customHeight="true" outlineLevel="0" collapsed="false">
      <c r="A5" s="6" t="s">
        <v>58</v>
      </c>
      <c r="B5" s="6" t="s">
        <v>59</v>
      </c>
      <c r="C5" s="31" t="n">
        <v>0</v>
      </c>
      <c r="D5" s="22" t="n">
        <v>3</v>
      </c>
      <c r="E5" s="13" t="n">
        <f aca="false">C5*D5</f>
        <v>0</v>
      </c>
    </row>
    <row r="6" customFormat="false" ht="15" hidden="false" customHeight="true" outlineLevel="0" collapsed="false">
      <c r="A6" s="8" t="s">
        <v>60</v>
      </c>
      <c r="B6" s="8" t="s">
        <v>61</v>
      </c>
      <c r="C6" s="32" t="n">
        <v>0</v>
      </c>
      <c r="D6" s="24" t="n">
        <v>3</v>
      </c>
      <c r="E6" s="11" t="n">
        <f aca="false">C6*D6</f>
        <v>0</v>
      </c>
    </row>
    <row r="7" customFormat="false" ht="15" hidden="false" customHeight="true" outlineLevel="0" collapsed="false">
      <c r="A7" s="6" t="s">
        <v>62</v>
      </c>
      <c r="B7" s="6" t="s">
        <v>63</v>
      </c>
      <c r="C7" s="31" t="n">
        <v>0</v>
      </c>
      <c r="D7" s="22" t="n">
        <v>3</v>
      </c>
      <c r="E7" s="13" t="n">
        <f aca="false">C7*D7</f>
        <v>0</v>
      </c>
    </row>
    <row r="8" customFormat="false" ht="15" hidden="false" customHeight="true" outlineLevel="0" collapsed="false">
      <c r="A8" s="8" t="s">
        <v>64</v>
      </c>
      <c r="B8" s="8" t="s">
        <v>65</v>
      </c>
      <c r="C8" s="32" t="n">
        <v>0</v>
      </c>
      <c r="D8" s="24" t="n">
        <v>3</v>
      </c>
      <c r="E8" s="11" t="n">
        <f aca="false">C8*D8</f>
        <v>0</v>
      </c>
    </row>
    <row r="9" customFormat="false" ht="15" hidden="false" customHeight="true" outlineLevel="0" collapsed="false">
      <c r="A9" s="6" t="s">
        <v>66</v>
      </c>
      <c r="B9" s="6" t="s">
        <v>67</v>
      </c>
      <c r="C9" s="31" t="n">
        <v>0</v>
      </c>
      <c r="D9" s="22" t="n">
        <v>3</v>
      </c>
      <c r="E9" s="13" t="n">
        <f aca="false">C9*D9</f>
        <v>0</v>
      </c>
    </row>
    <row r="10" customFormat="false" ht="23.25" hidden="false" customHeight="true" outlineLevel="0" collapsed="false">
      <c r="A10" s="8" t="s">
        <v>68</v>
      </c>
      <c r="B10" s="8" t="s">
        <v>69</v>
      </c>
      <c r="C10" s="32" t="n">
        <v>60</v>
      </c>
      <c r="D10" s="24" t="n">
        <v>3</v>
      </c>
      <c r="E10" s="11" t="n">
        <f aca="false">C10*D10</f>
        <v>180</v>
      </c>
    </row>
    <row r="11" customFormat="false" ht="15" hidden="false" customHeight="true" outlineLevel="0" collapsed="false">
      <c r="A11" s="6" t="s">
        <v>70</v>
      </c>
      <c r="B11" s="6" t="s">
        <v>71</v>
      </c>
      <c r="C11" s="31" t="n">
        <v>50</v>
      </c>
      <c r="D11" s="22" t="n">
        <v>3</v>
      </c>
      <c r="E11" s="13" t="n">
        <f aca="false">C11*D11</f>
        <v>150</v>
      </c>
    </row>
    <row r="12" customFormat="false" ht="15" hidden="false" customHeight="true" outlineLevel="0" collapsed="false">
      <c r="A12" s="8" t="s">
        <v>72</v>
      </c>
      <c r="B12" s="8" t="s">
        <v>73</v>
      </c>
      <c r="C12" s="32" t="n">
        <v>20</v>
      </c>
      <c r="D12" s="24" t="n">
        <v>3</v>
      </c>
      <c r="E12" s="11" t="n">
        <f aca="false">C12*D12</f>
        <v>60</v>
      </c>
    </row>
    <row r="13" customFormat="false" ht="23.25" hidden="false" customHeight="true" outlineLevel="0" collapsed="false">
      <c r="A13" s="6" t="s">
        <v>74</v>
      </c>
      <c r="B13" s="6" t="s">
        <v>75</v>
      </c>
      <c r="C13" s="31" t="n">
        <v>10</v>
      </c>
      <c r="D13" s="22" t="n">
        <v>3</v>
      </c>
      <c r="E13" s="13" t="n">
        <f aca="false">C13*D13</f>
        <v>30</v>
      </c>
    </row>
    <row r="14" customFormat="false" ht="15" hidden="false" customHeight="true" outlineLevel="0" collapsed="false">
      <c r="A14" s="26" t="s">
        <v>76</v>
      </c>
      <c r="B14" s="26"/>
      <c r="C14" s="26"/>
      <c r="D14" s="26"/>
      <c r="E14" s="16" t="n">
        <f aca="false">SUM(E3:E13)</f>
        <v>420</v>
      </c>
    </row>
    <row r="16" customFormat="false" ht="15" hidden="false" customHeight="true" outlineLevel="0" collapsed="false">
      <c r="A16" s="29" t="s">
        <v>77</v>
      </c>
      <c r="B16" s="29"/>
      <c r="C16" s="29"/>
      <c r="D16" s="29"/>
      <c r="E16" s="29"/>
    </row>
  </sheetData>
  <mergeCells count="2">
    <mergeCell ref="A1:E1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20"/>
  </cols>
  <sheetData>
    <row r="1" customFormat="false" ht="30" hidden="false" customHeight="true" outlineLevel="0" collapsed="false">
      <c r="A1" s="20" t="s">
        <v>78</v>
      </c>
      <c r="B1" s="20"/>
      <c r="C1" s="20"/>
      <c r="D1" s="20"/>
    </row>
    <row r="2" customFormat="false" ht="21.75" hidden="false" customHeight="true" outlineLevel="0" collapsed="false">
      <c r="A2" s="30" t="s">
        <v>79</v>
      </c>
      <c r="B2" s="30" t="s">
        <v>80</v>
      </c>
      <c r="C2" s="30" t="s">
        <v>81</v>
      </c>
      <c r="D2" s="30" t="s">
        <v>82</v>
      </c>
    </row>
    <row r="3" customFormat="false" ht="23.25" hidden="false" customHeight="true" outlineLevel="0" collapsed="false">
      <c r="A3" s="5" t="s">
        <v>83</v>
      </c>
      <c r="B3" s="6" t="s">
        <v>84</v>
      </c>
      <c r="C3" s="6" t="s">
        <v>85</v>
      </c>
      <c r="D3" s="13" t="n">
        <v>60</v>
      </c>
    </row>
    <row r="4" customFormat="false" ht="23.25" hidden="false" customHeight="true" outlineLevel="0" collapsed="false">
      <c r="A4" s="7" t="s">
        <v>86</v>
      </c>
      <c r="B4" s="8" t="s">
        <v>87</v>
      </c>
      <c r="C4" s="8" t="s">
        <v>88</v>
      </c>
      <c r="D4" s="11" t="n">
        <v>30</v>
      </c>
    </row>
    <row r="5" customFormat="false" ht="23.25" hidden="false" customHeight="true" outlineLevel="0" collapsed="false">
      <c r="A5" s="5" t="s">
        <v>89</v>
      </c>
      <c r="B5" s="6" t="s">
        <v>90</v>
      </c>
      <c r="C5" s="6" t="s">
        <v>91</v>
      </c>
      <c r="D5" s="13" t="n">
        <v>0</v>
      </c>
    </row>
    <row r="6" customFormat="false" ht="23.25" hidden="false" customHeight="true" outlineLevel="0" collapsed="false">
      <c r="A6" s="7" t="s">
        <v>92</v>
      </c>
      <c r="B6" s="8" t="s">
        <v>93</v>
      </c>
      <c r="C6" s="8" t="s">
        <v>94</v>
      </c>
      <c r="D6" s="11" t="n">
        <f aca="false">('Recursos Humanos'!I6+Infraestructura!E14)*0.1</f>
        <v>116.4</v>
      </c>
    </row>
    <row r="7" customFormat="false" ht="34.5" hidden="false" customHeight="true" outlineLevel="0" collapsed="false">
      <c r="A7" s="5" t="s">
        <v>95</v>
      </c>
      <c r="B7" s="6" t="s">
        <v>96</v>
      </c>
      <c r="C7" s="6" t="s">
        <v>97</v>
      </c>
      <c r="D7" s="13" t="n">
        <v>240</v>
      </c>
    </row>
    <row r="8" customFormat="false" ht="23.25" hidden="false" customHeight="true" outlineLevel="0" collapsed="false">
      <c r="A8" s="7" t="s">
        <v>98</v>
      </c>
      <c r="B8" s="8" t="s">
        <v>99</v>
      </c>
      <c r="C8" s="8" t="s">
        <v>100</v>
      </c>
      <c r="D8" s="11" t="n">
        <v>50</v>
      </c>
    </row>
    <row r="9" customFormat="false" ht="34.5" hidden="false" customHeight="true" outlineLevel="0" collapsed="false">
      <c r="A9" s="5" t="s">
        <v>101</v>
      </c>
      <c r="B9" s="6" t="s">
        <v>102</v>
      </c>
      <c r="C9" s="6" t="s">
        <v>103</v>
      </c>
      <c r="D9" s="13" t="n">
        <v>150</v>
      </c>
    </row>
    <row r="10" customFormat="false" ht="15" hidden="false" customHeight="true" outlineLevel="0" collapsed="false">
      <c r="A10" s="26" t="s">
        <v>104</v>
      </c>
      <c r="B10" s="26"/>
      <c r="C10" s="26"/>
      <c r="D10" s="16" t="n">
        <f aca="false">SUM(D3:D9)</f>
        <v>646.4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7" min="3" style="1" width="20"/>
  </cols>
  <sheetData>
    <row r="1" customFormat="false" ht="30" hidden="false" customHeight="true" outlineLevel="0" collapsed="false">
      <c r="A1" s="20" t="s">
        <v>105</v>
      </c>
      <c r="B1" s="20"/>
      <c r="C1" s="20"/>
      <c r="D1" s="20"/>
      <c r="E1" s="20"/>
      <c r="F1" s="20"/>
      <c r="G1" s="20"/>
    </row>
    <row r="2" customFormat="false" ht="36" hidden="false" customHeight="true" outlineLevel="0" collapsed="false">
      <c r="A2" s="26" t="s">
        <v>106</v>
      </c>
      <c r="B2" s="26" t="s">
        <v>107</v>
      </c>
      <c r="C2" s="26" t="s">
        <v>108</v>
      </c>
      <c r="D2" s="26" t="s">
        <v>109</v>
      </c>
      <c r="E2" s="26" t="s">
        <v>110</v>
      </c>
      <c r="F2" s="26" t="s">
        <v>111</v>
      </c>
      <c r="G2" s="26" t="s">
        <v>112</v>
      </c>
    </row>
    <row r="3" customFormat="false" ht="15" hidden="false" customHeight="true" outlineLevel="0" collapsed="false">
      <c r="A3" s="33" t="s">
        <v>113</v>
      </c>
      <c r="B3" s="22" t="s">
        <v>114</v>
      </c>
      <c r="C3" s="34" t="n">
        <f aca="false">SUM('Recursos Humanos'!C3:C6)*12</f>
        <v>552</v>
      </c>
      <c r="D3" s="31" t="n">
        <v>30</v>
      </c>
      <c r="E3" s="31" t="n">
        <v>30</v>
      </c>
      <c r="F3" s="35" t="n">
        <f aca="false">C3+D3+E3</f>
        <v>612</v>
      </c>
      <c r="G3" s="36" t="n">
        <f aca="false">F3</f>
        <v>612</v>
      </c>
    </row>
    <row r="4" customFormat="false" ht="15" hidden="false" customHeight="true" outlineLevel="0" collapsed="false">
      <c r="A4" s="37" t="s">
        <v>115</v>
      </c>
      <c r="B4" s="24" t="s">
        <v>116</v>
      </c>
      <c r="C4" s="38" t="n">
        <f aca="false">SUM('Recursos Humanos'!D3:D6)*12</f>
        <v>624</v>
      </c>
      <c r="D4" s="32" t="n">
        <v>30</v>
      </c>
      <c r="E4" s="32" t="n">
        <v>30</v>
      </c>
      <c r="F4" s="39" t="n">
        <f aca="false">C4+D4+E4</f>
        <v>684</v>
      </c>
      <c r="G4" s="36" t="n">
        <f aca="false">G3+F4</f>
        <v>1296</v>
      </c>
    </row>
    <row r="5" customFormat="false" ht="15" hidden="false" customHeight="true" outlineLevel="0" collapsed="false">
      <c r="A5" s="33" t="s">
        <v>117</v>
      </c>
      <c r="B5" s="22" t="s">
        <v>118</v>
      </c>
      <c r="C5" s="34" t="n">
        <f aca="false">SUM('Recursos Humanos'!E3:E6)*12</f>
        <v>912</v>
      </c>
      <c r="D5" s="31" t="n">
        <v>50</v>
      </c>
      <c r="E5" s="31" t="n">
        <v>40</v>
      </c>
      <c r="F5" s="35" t="n">
        <f aca="false">C5+D5+E5</f>
        <v>1002</v>
      </c>
      <c r="G5" s="36" t="n">
        <f aca="false">G4+F5</f>
        <v>2298</v>
      </c>
    </row>
    <row r="6" customFormat="false" ht="15" hidden="false" customHeight="true" outlineLevel="0" collapsed="false">
      <c r="A6" s="37" t="s">
        <v>119</v>
      </c>
      <c r="B6" s="24" t="s">
        <v>120</v>
      </c>
      <c r="C6" s="38" t="n">
        <f aca="false">SUM('Recursos Humanos'!F3:F6)*12</f>
        <v>888</v>
      </c>
      <c r="D6" s="32" t="n">
        <v>40</v>
      </c>
      <c r="E6" s="32" t="n">
        <v>40</v>
      </c>
      <c r="F6" s="39" t="n">
        <f aca="false">C6+D6+E6</f>
        <v>968</v>
      </c>
      <c r="G6" s="36" t="n">
        <f aca="false">G5+F6</f>
        <v>3266</v>
      </c>
    </row>
    <row r="7" customFormat="false" ht="15" hidden="false" customHeight="true" outlineLevel="0" collapsed="false">
      <c r="A7" s="33" t="s">
        <v>121</v>
      </c>
      <c r="B7" s="22" t="s">
        <v>12</v>
      </c>
      <c r="C7" s="34" t="n">
        <f aca="false">SUM('Recursos Humanos'!G3:G6)*12</f>
        <v>648</v>
      </c>
      <c r="D7" s="31" t="n">
        <v>20</v>
      </c>
      <c r="E7" s="31" t="n">
        <v>20</v>
      </c>
      <c r="F7" s="35" t="n">
        <f aca="false">C7+D7+E7</f>
        <v>688</v>
      </c>
      <c r="G7" s="36" t="n">
        <f aca="false">G6+F7</f>
        <v>3954</v>
      </c>
    </row>
    <row r="8" customFormat="false" ht="15" hidden="false" customHeight="true" outlineLevel="0" collapsed="false">
      <c r="A8" s="26" t="s">
        <v>47</v>
      </c>
      <c r="B8" s="26"/>
      <c r="C8" s="16" t="n">
        <f aca="false">SUM(C3:C7)</f>
        <v>3624</v>
      </c>
      <c r="D8" s="16" t="n">
        <f aca="false">SUM(D3:D7)</f>
        <v>170</v>
      </c>
      <c r="E8" s="16" t="n">
        <f aca="false">SUM(E3:E7)</f>
        <v>160</v>
      </c>
      <c r="F8" s="16" t="n">
        <f aca="false">SUM(F3:F7)</f>
        <v>3954</v>
      </c>
      <c r="G8" s="16" t="n">
        <f aca="false">G7</f>
        <v>3954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6"/>
    <col collapsed="false" customWidth="true" hidden="false" outlineLevel="0" max="4" min="3" style="1" width="20"/>
  </cols>
  <sheetData>
    <row r="1" customFormat="false" ht="30" hidden="false" customHeight="true" outlineLevel="0" collapsed="false">
      <c r="A1" s="40" t="s">
        <v>122</v>
      </c>
      <c r="B1" s="40"/>
      <c r="C1" s="40"/>
      <c r="D1" s="40"/>
    </row>
    <row r="2" customFormat="false" ht="15" hidden="false" customHeight="true" outlineLevel="0" collapsed="false">
      <c r="A2" s="41" t="s">
        <v>123</v>
      </c>
      <c r="B2" s="41"/>
      <c r="C2" s="41"/>
      <c r="D2" s="41"/>
    </row>
    <row r="3" customFormat="false" ht="21.75" hidden="false" customHeight="true" outlineLevel="0" collapsed="false">
      <c r="A3" s="42" t="s">
        <v>124</v>
      </c>
      <c r="B3" s="42" t="s">
        <v>125</v>
      </c>
      <c r="C3" s="42" t="s">
        <v>126</v>
      </c>
      <c r="D3" s="42" t="s">
        <v>127</v>
      </c>
    </row>
    <row r="4" customFormat="false" ht="48" hidden="false" customHeight="true" outlineLevel="0" collapsed="false">
      <c r="A4" s="43" t="s">
        <v>128</v>
      </c>
      <c r="B4" s="44" t="s">
        <v>129</v>
      </c>
      <c r="C4" s="45" t="s">
        <v>130</v>
      </c>
      <c r="D4" s="44" t="s">
        <v>131</v>
      </c>
    </row>
    <row r="5" customFormat="false" ht="48" hidden="false" customHeight="true" outlineLevel="0" collapsed="false">
      <c r="A5" s="5" t="s">
        <v>132</v>
      </c>
      <c r="B5" s="6" t="s">
        <v>133</v>
      </c>
      <c r="C5" s="22" t="s">
        <v>130</v>
      </c>
      <c r="D5" s="6" t="s">
        <v>134</v>
      </c>
    </row>
    <row r="6" customFormat="false" ht="48" hidden="false" customHeight="true" outlineLevel="0" collapsed="false">
      <c r="A6" s="43" t="s">
        <v>135</v>
      </c>
      <c r="B6" s="44" t="s">
        <v>136</v>
      </c>
      <c r="C6" s="45" t="s">
        <v>130</v>
      </c>
      <c r="D6" s="44" t="s">
        <v>137</v>
      </c>
    </row>
    <row r="7" customFormat="false" ht="48" hidden="false" customHeight="true" outlineLevel="0" collapsed="false">
      <c r="A7" s="5" t="s">
        <v>138</v>
      </c>
      <c r="B7" s="6" t="s">
        <v>139</v>
      </c>
      <c r="C7" s="22" t="s">
        <v>130</v>
      </c>
      <c r="D7" s="6" t="s">
        <v>140</v>
      </c>
    </row>
    <row r="8" customFormat="false" ht="48" hidden="false" customHeight="true" outlineLevel="0" collapsed="false">
      <c r="A8" s="43" t="s">
        <v>141</v>
      </c>
      <c r="B8" s="44" t="s">
        <v>142</v>
      </c>
      <c r="C8" s="45" t="s">
        <v>130</v>
      </c>
      <c r="D8" s="44" t="s">
        <v>143</v>
      </c>
    </row>
    <row r="9" customFormat="false" ht="48" hidden="false" customHeight="true" outlineLevel="0" collapsed="false">
      <c r="A9" s="5" t="s">
        <v>144</v>
      </c>
      <c r="B9" s="6" t="s">
        <v>145</v>
      </c>
      <c r="C9" s="22" t="s">
        <v>146</v>
      </c>
      <c r="D9" s="6" t="s">
        <v>147</v>
      </c>
    </row>
    <row r="10" customFormat="false" ht="48" hidden="false" customHeight="true" outlineLevel="0" collapsed="false">
      <c r="A10" s="43" t="s">
        <v>148</v>
      </c>
      <c r="B10" s="44" t="s">
        <v>149</v>
      </c>
      <c r="C10" s="45" t="s">
        <v>130</v>
      </c>
      <c r="D10" s="44" t="s">
        <v>150</v>
      </c>
    </row>
    <row r="12" customFormat="false" ht="72" hidden="false" customHeight="true" outlineLevel="0" collapsed="false">
      <c r="A12" s="46" t="s">
        <v>151</v>
      </c>
      <c r="B12" s="46"/>
      <c r="C12" s="46"/>
      <c r="D12" s="46"/>
    </row>
  </sheetData>
  <mergeCells count="3">
    <mergeCell ref="A1:D1"/>
    <mergeCell ref="A2:D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2026-05-04T14:34:15Z</dcterms:created>
  <dc:creator>openpyxl</dc:creator>
  <dc:description/>
  <dc:language>en-US</dc:language>
  <cp:lastModifiedBy/>
  <dcterms:modified xsi:type="dcterms:W3CDTF">2026-05-04T14:34:33Z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