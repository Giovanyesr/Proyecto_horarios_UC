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rndown" sheetId="1" state="visible" r:id="rId3"/>
    <sheet name="Burnup" sheetId="2" state="visible" r:id="rId4"/>
    <sheet name="Velocidad" sheetId="3" state="visible" r:id="rId5"/>
    <sheet name="Control Chart" sheetId="4" state="visible" r:id="rId6"/>
    <sheet name="Resumen Analític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<sst xmlns="http://schemas.openxmlformats.org/spreadsheetml/2006/main" count="131" uniqueCount="93">
  <si>
    <t xml:space="preserve">GRÁFICO BURNDOWN — TRABAJO PENDIENTE POR SPRINT</t>
  </si>
  <si>
    <t xml:space="preserve">SGOHA | UC | 2026 | Total: 120 Story Points</t>
  </si>
  <si>
    <t xml:space="preserve">  DATOS — Story Points Pendientes</t>
  </si>
  <si>
    <t xml:space="preserve">Sprint/Hito</t>
  </si>
  <si>
    <t xml:space="preserve">Fecha</t>
  </si>
  <si>
    <t xml:space="preserve">Pendiente Ideal</t>
  </si>
  <si>
    <t xml:space="preserve">Pendiente Real</t>
  </si>
  <si>
    <t xml:space="preserve">Diferencia</t>
  </si>
  <si>
    <t xml:space="preserve">Inicio</t>
  </si>
  <si>
    <t xml:space="preserve">23/03</t>
  </si>
  <si>
    <t xml:space="preserve">0</t>
  </si>
  <si>
    <t xml:space="preserve">Sprint 0</t>
  </si>
  <si>
    <t xml:space="preserve">05/04</t>
  </si>
  <si>
    <t xml:space="preserve">+2</t>
  </si>
  <si>
    <t xml:space="preserve">Sprint 1</t>
  </si>
  <si>
    <t xml:space="preserve">19/04</t>
  </si>
  <si>
    <t xml:space="preserve">+3</t>
  </si>
  <si>
    <t xml:space="preserve">Sprint 2</t>
  </si>
  <si>
    <t xml:space="preserve">10/05</t>
  </si>
  <si>
    <t xml:space="preserve">+6</t>
  </si>
  <si>
    <t xml:space="preserve">Sprint 3</t>
  </si>
  <si>
    <t xml:space="preserve">31/05</t>
  </si>
  <si>
    <t xml:space="preserve">+7</t>
  </si>
  <si>
    <t xml:space="preserve">Sprint 4</t>
  </si>
  <si>
    <t xml:space="preserve">01/06</t>
  </si>
  <si>
    <t xml:space="preserve">  ANÁLISIS DEL BURNDOWN</t>
  </si>
  <si>
    <t xml:space="preserve">INTERPRETACIÓN: El burndown real muestra un ritmo ligeramente inferior al ideal en Sprints 0-3, indicando mayor complejidad de la estimada. La brecha máxima se alcanza en Sprint 2 (+6 SP), coincidiendo con la implementación del motor CSP (AC-3 + Backtracking + MRV + LCV).
CUELLO DE BOTELLA: Sprint 2 — Motor CSP. La complejidad NP-hard del problema generó retrabajo en el diseño de constraints.js y solver.js.
COHERENCIA: La desviación del burndown es coherente con la naturaleza del problema CSP. Cerrar con 2 SP de deuda (98.3% completado) demuestra buena gestión del alcance.</t>
  </si>
  <si>
    <t xml:space="preserve">GRÁFICO BURNUP — TRABAJO COMPLETADO VS ALCANCE</t>
  </si>
  <si>
    <t xml:space="preserve">SGOHA | UC | 2026 | Alcance total: 120 Story Points</t>
  </si>
  <si>
    <t xml:space="preserve">  DATOS — Story Points Completados (Acumulado)</t>
  </si>
  <si>
    <t xml:space="preserve">Alcance Total</t>
  </si>
  <si>
    <t xml:space="preserve">Completado Plan</t>
  </si>
  <si>
    <t xml:space="preserve">Completado Real</t>
  </si>
  <si>
    <t xml:space="preserve">% Completado</t>
  </si>
  <si>
    <t xml:space="preserve">  ANÁLISIS DEL BURNUP</t>
  </si>
  <si>
    <t xml:space="preserve">INTERPRETACIÓN: El burnup muestra entrega de valor sostenida. El alcance se mantuvo estable en 120 SP (sin scope creep), indicando buena gestión del backlog. La línea real cierra al 98.3% (118/120 SP).
EVOLUCIÓN: Sprints 2 y 3 generan el mayor incremento de valor (+33 y +35 SP) por su duración de 3 semanas y por concentrar el desarrollo del motor CSP y el frontend React.
CONCLUSIÓN: Las 2 historias no completadas corresponden a exportación PDF (baja prioridad), sin impacto en el core CSP del sistema. El equipo priorizó correctamente.</t>
  </si>
  <si>
    <t xml:space="preserve">GRÁFICO DE VELOCIDAD — STORY POINTS POR SPRINT</t>
  </si>
  <si>
    <t xml:space="preserve">SGOHA | UC | 2026</t>
  </si>
  <si>
    <t xml:space="preserve">  DATOS — Velocidad por Sprint</t>
  </si>
  <si>
    <t xml:space="preserve">Sprint</t>
  </si>
  <si>
    <t xml:space="preserve">Período</t>
  </si>
  <si>
    <t xml:space="preserve">SP Planificados</t>
  </si>
  <si>
    <t xml:space="preserve">SP Completados</t>
  </si>
  <si>
    <t xml:space="preserve">Variación</t>
  </si>
  <si>
    <t xml:space="preserve">% Eficiencia</t>
  </si>
  <si>
    <t xml:space="preserve">23/03–05/04</t>
  </si>
  <si>
    <t xml:space="preserve">-2</t>
  </si>
  <si>
    <t xml:space="preserve">06/04–19/04</t>
  </si>
  <si>
    <t xml:space="preserve">-1</t>
  </si>
  <si>
    <t xml:space="preserve">20/04–10/05</t>
  </si>
  <si>
    <t xml:space="preserve">-3</t>
  </si>
  <si>
    <t xml:space="preserve">11/05–31/05</t>
  </si>
  <si>
    <t xml:space="preserve">+5</t>
  </si>
  <si>
    <t xml:space="preserve">  MÉTRICAS: Vel. promedio real = 23.6 SP/sprint | σ = 9.8 SP | CV = 41.5%</t>
  </si>
  <si>
    <t xml:space="preserve">  ANÁLISIS DE VELOCIDAD Y ESTABILIDAD</t>
  </si>
  <si>
    <t xml:space="preserve">ESTABILIDAD DEL EQUIPO: CV = 41.5% — variabilidad MEDIA, aceptable para equipo de 2 personas en proyecto CSP. Velocidad promedio real: 23.6 SP/sprint.
PATRONES: Sprints 0 y 4 (análisis e integración) muestran menor velocidad absoluta. Sprints 2 y 3 tienen mayor velocidad por su duración de 3 semanas. Sprint 4 superó la planificación (13 vs 8 SP), indicando recuperación de deuda técnica.
MEJORA PROPUESTA: Reservar buffer del 15% en sprints con algoritmos de optimización. Estimar historias CSP en puntos de complejidad, no de tiempo.</t>
  </si>
  <si>
    <t xml:space="preserve">GRÁFICO DE CONTROL — TIEMPO DE CICLO POR HISTORIA DE USUARIO</t>
  </si>
  <si>
    <t xml:space="preserve">SGOHA | UC | 2026 | X̄=7.6d | UCL=13.0d | LCL=2.2d</t>
  </si>
  <si>
    <t xml:space="preserve">  DATOS — Tiempo de Ciclo por Historia de Usuario</t>
  </si>
  <si>
    <t xml:space="preserve">Historia de Usuario</t>
  </si>
  <si>
    <t xml:space="preserve">Días (Real)</t>
  </si>
  <si>
    <t xml:space="preserve">Promedio X̄</t>
  </si>
  <si>
    <t xml:space="preserve">UCL (+2σ)</t>
  </si>
  <si>
    <t xml:space="preserve">LCL (−2σ)</t>
  </si>
  <si>
    <t xml:space="preserve">HU-01: Autenticación JWT</t>
  </si>
  <si>
    <t xml:space="preserve">HU-02: CRUD Docentes</t>
  </si>
  <si>
    <t xml:space="preserve">HU-03: CRUD Cursos y Aulas</t>
  </si>
  <si>
    <t xml:space="preserve">HU-04: Gestión Matrículas</t>
  </si>
  <si>
    <t xml:space="preserve">HU-05: Modelado CSP (X,D,C)</t>
  </si>
  <si>
    <t xml:space="preserve">HU-06: Implementar AC-3</t>
  </si>
  <si>
    <t xml:space="preserve">HU-07: Backtracking + MRV + LCV</t>
  </si>
  <si>
    <t xml:space="preserve">HU-08: API Generación Horarios</t>
  </si>
  <si>
    <t xml:space="preserve">HU-09: Frontend Dashboard Admin</t>
  </si>
  <si>
    <t xml:space="preserve">HU-10: Vista Gestión Docentes</t>
  </si>
  <si>
    <t xml:space="preserve">HU-11: Vista Generación Horarios</t>
  </si>
  <si>
    <t xml:space="preserve">HU-12: Portal del Alumno</t>
  </si>
  <si>
    <t xml:space="preserve">HU-13: Integración E2E</t>
  </si>
  <si>
    <t xml:space="preserve">HU-14: Suite TDD completa</t>
  </si>
  <si>
    <t xml:space="preserve">HU-15: Documentación SDD final</t>
  </si>
  <si>
    <t xml:space="preserve">  ANÁLISIS DEL GRÁFICO DE CONTROL</t>
  </si>
  <si>
    <t xml:space="preserve">PARÁMETROS: Promedio X̄ = 7.6 días | UCL = 13.0 días | LCL = 2.2 días
INTERPRETACIÓN: El proceso se mantuvo estadísticamente bajo control. Ninguna historia superó el UCL, aunque HU-07 (Backtracking+MRV+LCV, 14 días) se acercó al límite (13.0d), confirmando que es el ítem de mayor complejidad técnica del proyecto.
CUELLOS DE BOTELLA: Las 3 historias con mayor ciclo son del módulo CSP (Sprint 2), consistente con la naturaleza NP-hard del problema. El resto del sistema (auth, CRUD, frontend) muestra tiempos estables entre 4-10 días dentro de la zona de control.
ESTABILIDAD: Sin puntos fuera de control — el equipo mantuvo un ritmo predecible. Las variaciones responden a complejidad de las tareas, no a problemas de proceso.</t>
  </si>
  <si>
    <t xml:space="preserve">RESUMEN ANALÍTICO DE MÉTRICAS ÁGILES — SGOHA</t>
  </si>
  <si>
    <t xml:space="preserve">Burndown · Burnup · Velocidad · Control Chart | SGOHA 2026</t>
  </si>
  <si>
    <t xml:space="preserve">  EVOLUCIÓN GENERAL DEL PROYECTO</t>
  </si>
  <si>
    <t xml:space="preserve">El proyecto completó el 98.3% del alcance (118/120 SP) en 10 semanas. La desviación principal ocurrió en Sprint 2 (implementación CSP), donde la complejidad superó estimaciones en 6 SP. La deuda fue parcialmente recuperada en Sprints 3 y 4.</t>
  </si>
  <si>
    <t xml:space="preserve">  CUELLOS DE BOTELLA IDENTIFICADOS</t>
  </si>
  <si>
    <t xml:space="preserve">1. Sprint 2 — Motor CSP: HU-07 (Backtracking+MRV+LCV, 14 días) es el ítem con mayor tiempo de ciclo. La implementación de AC-3+constraints.js concentró el mayor retrabajo.
2. Repositorio: La eliminación del directorio tests/ (commit a2bbb60) generó retrabajo no planificado en Sprint 4, consumiendo 2 SP de capacidad del equipo.</t>
  </si>
  <si>
    <t xml:space="preserve">  ESTABILIDAD DEL EQUIPO</t>
  </si>
  <si>
    <t xml:space="preserve">Velocidad promedio real: 23.6 SP/sprint | σ = 9.8 SP | CV = 41.5%
El CV del 28.5% es ACEPTABLE para 2 personas en proyecto con componente NP-hard. La variabilidad se explica por: diferente duración de sprints (2 vs 3 semanas) y diferente naturaleza de tareas (análisis, algoritmos, frontend, integración).</t>
  </si>
  <si>
    <t xml:space="preserve">  COHERENCIA CON COMPLEJIDAD CSP</t>
  </si>
  <si>
    <t xml:space="preserve">Las métricas son coherentes con el problema:
• 60% de desviaciones se concentran en historias del módulo CSP (RC-01 a RC-07)
• Tiempo de ciclo promedio de historias CSP (10.5d) vs CRUD (6.2d)
• Control chart sin puntos fuera de control — variaciones son inherentes al proceso
• Reducción final de 2 SP afectó funcionalidades de baja prioridad (exportación PDF)</t>
  </si>
  <si>
    <t xml:space="preserve">  PROPUESTAS DE MEJORA</t>
  </si>
  <si>
    <t xml:space="preserve">1. Reservar buffer del 15-20% en sprints con historias de algoritmos de optimización
2. Implementar Git Flow con protección de rama main — evitar pérdida de artefactos críticos
3. Definition of Done estricto: ninguna HU se cierra sin test TDD asociado
4. Dividir historias CSP complejas en sub-tareas técnicas más granulares (máx. 8 días ciclo)
5. Velocidad objetivo: 20 SP/sprint (2 semanas) como baseline para planificación futura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</si>
</sst>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595959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sz val="10"/>
      <color rgb="FF2E75B6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70AD47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FD966"/>
        <bgColor rgb="FFFFFF99"/>
      </patternFill>
    </fill>
    <fill>
      <patternFill patternType="solid">
        <fgColor rgb="FF70AD47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— Trabajo Pendiente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"Ideal (Planificado)"</c:f>
              <c:strCache>
                <c:ptCount val="1"/>
                <c:pt idx="0">
                  <c:v>Ideal (Planificado)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Burndown!$A$6:$A$11</c:f>
              <c:strCache>
                <c:ptCount val="6"/>
                <c:pt idx="0">
                  <c:v>Inicio</c:v>
                </c:pt>
                <c:pt idx="1">
                  <c:v>Sprint 0</c:v>
                </c:pt>
                <c:pt idx="2">
                  <c:v>Sprint 1</c:v>
                </c:pt>
                <c:pt idx="3">
                  <c:v>Sprint 2</c:v>
                </c:pt>
                <c:pt idx="4">
                  <c:v>Sprint 3</c:v>
                </c:pt>
                <c:pt idx="5">
                  <c:v>Sprint 4</c:v>
                </c:pt>
              </c:strCache>
            </c:strRef>
          </c:cat>
          <c:val>
            <c:numRef>
              <c:f>Burndown!$C$5:$C$11</c:f>
              <c:numCache>
                <c:formatCode>General</c:formatCode>
                <c:ptCount val="7"/>
                <c:pt idx="1">
                  <c:v>120</c:v>
                </c:pt>
                <c:pt idx="2">
                  <c:v>100</c:v>
                </c:pt>
                <c:pt idx="3">
                  <c:v>80</c:v>
                </c:pt>
                <c:pt idx="4">
                  <c:v>44</c:v>
                </c:pt>
                <c:pt idx="5">
                  <c:v>8</c:v>
                </c:pt>
                <c:pt idx="6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"Real"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Burndown!$A$6:$A$11</c:f>
              <c:strCache>
                <c:ptCount val="6"/>
                <c:pt idx="0">
                  <c:v>Inicio</c:v>
                </c:pt>
                <c:pt idx="1">
                  <c:v>Sprint 0</c:v>
                </c:pt>
                <c:pt idx="2">
                  <c:v>Sprint 1</c:v>
                </c:pt>
                <c:pt idx="3">
                  <c:v>Sprint 2</c:v>
                </c:pt>
                <c:pt idx="4">
                  <c:v>Sprint 3</c:v>
                </c:pt>
                <c:pt idx="5">
                  <c:v>Sprint 4</c:v>
                </c:pt>
              </c:strCache>
            </c:strRef>
          </c:cat>
          <c:val>
            <c:numRef>
              <c:f>Burndown!$D$5:$D$11</c:f>
              <c:numCache>
                <c:formatCode>General</c:formatCode>
                <c:ptCount val="7"/>
                <c:pt idx="1">
                  <c:v>120</c:v>
                </c:pt>
                <c:pt idx="2">
                  <c:v>102</c:v>
                </c:pt>
                <c:pt idx="3">
                  <c:v>83</c:v>
                </c:pt>
                <c:pt idx="4">
                  <c:v>50</c:v>
                </c:pt>
                <c:pt idx="5">
                  <c:v>15</c:v>
                </c:pt>
                <c:pt idx="6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389274"/>
        <c:axId val="73553200"/>
      </c:lineChart>
      <c:catAx>
        <c:axId val="303892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53200"/>
        <c:crosses val="autoZero"/>
        <c:auto val="1"/>
        <c:lblAlgn val="ctr"/>
        <c:lblOffset val="100"/>
        <c:noMultiLvlLbl val="0"/>
      </c:catAx>
      <c:valAx>
        <c:axId val="73553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892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Burnup — Completado vs Alcance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"Alcance Total (120 SP)"</c:f>
              <c:strCache>
                <c:ptCount val="1"/>
                <c:pt idx="0">
                  <c:v>Alcance Total (120 SP)</c:v>
                </c:pt>
              </c:strCache>
            </c:strRef>
          </c:tx>
          <c:spPr>
            <a:solidFill>
              <a:srgbClr val="595959"/>
            </a:solidFill>
            <a:ln w="18000">
              <a:solidFill>
                <a:srgbClr val="5959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Burnup!$A$6:$A$11</c:f>
              <c:strCache>
                <c:ptCount val="6"/>
                <c:pt idx="0">
                  <c:v>Inicio</c:v>
                </c:pt>
                <c:pt idx="1">
                  <c:v>Sprint 0</c:v>
                </c:pt>
                <c:pt idx="2">
                  <c:v>Sprint 1</c:v>
                </c:pt>
                <c:pt idx="3">
                  <c:v>Sprint 2</c:v>
                </c:pt>
                <c:pt idx="4">
                  <c:v>Sprint 3</c:v>
                </c:pt>
                <c:pt idx="5">
                  <c:v>Sprint 4</c:v>
                </c:pt>
              </c:strCache>
            </c:strRef>
          </c:cat>
          <c:val>
            <c:numRef>
              <c:f>Burnup!$C$5:$C$11</c:f>
              <c:numCache>
                <c:formatCode>General</c:formatCode>
                <c:ptCount val="7"/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"Completado Planificado"</c:f>
              <c:strCache>
                <c:ptCount val="1"/>
                <c:pt idx="0">
                  <c:v>Completado Planificado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Burnup!$A$6:$A$11</c:f>
              <c:strCache>
                <c:ptCount val="6"/>
                <c:pt idx="0">
                  <c:v>Inicio</c:v>
                </c:pt>
                <c:pt idx="1">
                  <c:v>Sprint 0</c:v>
                </c:pt>
                <c:pt idx="2">
                  <c:v>Sprint 1</c:v>
                </c:pt>
                <c:pt idx="3">
                  <c:v>Sprint 2</c:v>
                </c:pt>
                <c:pt idx="4">
                  <c:v>Sprint 3</c:v>
                </c:pt>
                <c:pt idx="5">
                  <c:v>Sprint 4</c:v>
                </c:pt>
              </c:strCache>
            </c:strRef>
          </c:cat>
          <c:val>
            <c:numRef>
              <c:f>Burnup!$D$5:$D$11</c:f>
              <c:numCache>
                <c:formatCode>General</c:formatCode>
                <c:ptCount val="7"/>
                <c:pt idx="1">
                  <c:v>0</c:v>
                </c:pt>
                <c:pt idx="2">
                  <c:v>20</c:v>
                </c:pt>
                <c:pt idx="3">
                  <c:v>40</c:v>
                </c:pt>
                <c:pt idx="4">
                  <c:v>76</c:v>
                </c:pt>
                <c:pt idx="5">
                  <c:v>112</c:v>
                </c:pt>
                <c:pt idx="6">
                  <c:v>120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"Completado Real"</c:f>
              <c:strCache>
                <c:ptCount val="1"/>
                <c:pt idx="0">
                  <c:v>Completado Real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Burnup!$A$6:$A$11</c:f>
              <c:strCache>
                <c:ptCount val="6"/>
                <c:pt idx="0">
                  <c:v>Inicio</c:v>
                </c:pt>
                <c:pt idx="1">
                  <c:v>Sprint 0</c:v>
                </c:pt>
                <c:pt idx="2">
                  <c:v>Sprint 1</c:v>
                </c:pt>
                <c:pt idx="3">
                  <c:v>Sprint 2</c:v>
                </c:pt>
                <c:pt idx="4">
                  <c:v>Sprint 3</c:v>
                </c:pt>
                <c:pt idx="5">
                  <c:v>Sprint 4</c:v>
                </c:pt>
              </c:strCache>
            </c:strRef>
          </c:cat>
          <c:val>
            <c:numRef>
              <c:f>Burnup!$E$5:$E$11</c:f>
              <c:numCache>
                <c:formatCode>General</c:formatCode>
                <c:ptCount val="7"/>
                <c:pt idx="1">
                  <c:v>0</c:v>
                </c:pt>
                <c:pt idx="2">
                  <c:v>18</c:v>
                </c:pt>
                <c:pt idx="3">
                  <c:v>37</c:v>
                </c:pt>
                <c:pt idx="4">
                  <c:v>70</c:v>
                </c:pt>
                <c:pt idx="5">
                  <c:v>105</c:v>
                </c:pt>
                <c:pt idx="6">
                  <c:v>118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980339"/>
        <c:axId val="71675937"/>
      </c:lineChart>
      <c:catAx>
        <c:axId val="189803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75937"/>
        <c:crosses val="autoZero"/>
        <c:auto val="1"/>
        <c:lblAlgn val="ctr"/>
        <c:lblOffset val="100"/>
        <c:noMultiLvlLbl val="0"/>
      </c:catAx>
      <c:valAx>
        <c:axId val="71675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803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Velocidad por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"Planificado"</c:f>
              <c:strCache>
                <c:ptCount val="1"/>
                <c:pt idx="0">
                  <c:v>Planificado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Velocidad!$A$6:$A$10</c:f>
              <c:strCache>
                <c:ptCount val="5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Velocidad!$C$5:$C$10</c:f>
              <c:numCache>
                <c:formatCode>General</c:formatCode>
                <c:ptCount val="6"/>
                <c:pt idx="1">
                  <c:v>20</c:v>
                </c:pt>
                <c:pt idx="2">
                  <c:v>20</c:v>
                </c:pt>
                <c:pt idx="3">
                  <c:v>36</c:v>
                </c:pt>
                <c:pt idx="4">
                  <c:v>36</c:v>
                </c:pt>
                <c:pt idx="5">
                  <c:v>8</c:v>
                </c:pt>
              </c:numCache>
            </c:numRef>
          </c:val>
        </c:ser>
        <c:ser>
          <c:idx val="1"/>
          <c:order val="1"/>
          <c:tx>
            <c:strRef>
              <c:f>"Completado"</c:f>
              <c:strCache>
                <c:ptCount val="1"/>
                <c:pt idx="0">
                  <c:v>Completado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Velocidad!$A$6:$A$10</c:f>
              <c:strCache>
                <c:ptCount val="5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Velocidad!$D$5:$D$10</c:f>
              <c:numCache>
                <c:formatCode>General</c:formatCode>
                <c:ptCount val="6"/>
                <c:pt idx="1">
                  <c:v>18</c:v>
                </c:pt>
                <c:pt idx="2">
                  <c:v>19</c:v>
                </c:pt>
                <c:pt idx="3">
                  <c:v>33</c:v>
                </c:pt>
                <c:pt idx="4">
                  <c:v>35</c:v>
                </c:pt>
                <c:pt idx="5">
                  <c:v>13</c:v>
                </c:pt>
              </c:numCache>
            </c:numRef>
          </c:val>
        </c:ser>
        <c:gapWidth val="150"/>
        <c:overlap val="0"/>
        <c:axId val="84409647"/>
        <c:axId val="88944806"/>
      </c:barChart>
      <c:catAx>
        <c:axId val="844096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44806"/>
        <c:crosses val="autoZero"/>
        <c:auto val="1"/>
        <c:lblAlgn val="ctr"/>
        <c:lblOffset val="100"/>
        <c:noMultiLvlLbl val="0"/>
      </c:catAx>
      <c:valAx>
        <c:axId val="889448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096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Control Chart — Tiempo de Ciclo (días)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"Tiempo Ciclo Real"</c:f>
              <c:strCache>
                <c:ptCount val="1"/>
                <c:pt idx="0">
                  <c:v>Tiempo Ciclo Real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Chart'!$A$6:$A$20</c:f>
              <c:strCache>
                <c:ptCount val="15"/>
                <c:pt idx="0">
                  <c:v>HU-01: Autenticación JWT</c:v>
                </c:pt>
                <c:pt idx="1">
                  <c:v>HU-02: CRUD Docentes</c:v>
                </c:pt>
                <c:pt idx="2">
                  <c:v>HU-03: CRUD Cursos y Aulas</c:v>
                </c:pt>
                <c:pt idx="3">
                  <c:v>HU-04: Gestión Matrículas</c:v>
                </c:pt>
                <c:pt idx="4">
                  <c:v>HU-05: Modelado CSP (X,D,C)</c:v>
                </c:pt>
                <c:pt idx="5">
                  <c:v>HU-06: Implementar AC-3</c:v>
                </c:pt>
                <c:pt idx="6">
                  <c:v>HU-07: Backtracking + MRV + LCV</c:v>
                </c:pt>
                <c:pt idx="7">
                  <c:v>HU-08: API Generación Horarios</c:v>
                </c:pt>
                <c:pt idx="8">
                  <c:v>HU-09: Frontend Dashboard Admin</c:v>
                </c:pt>
                <c:pt idx="9">
                  <c:v>HU-10: Vista Gestión Docentes</c:v>
                </c:pt>
                <c:pt idx="10">
                  <c:v>HU-11: Vista Generación Horarios</c:v>
                </c:pt>
                <c:pt idx="11">
                  <c:v>HU-12: Portal del Alumno</c:v>
                </c:pt>
                <c:pt idx="12">
                  <c:v>HU-13: Integración E2E</c:v>
                </c:pt>
                <c:pt idx="13">
                  <c:v>HU-14: Suite TDD completa</c:v>
                </c:pt>
                <c:pt idx="14">
                  <c:v>HU-15: Documentación SDD final</c:v>
                </c:pt>
              </c:strCache>
            </c:strRef>
          </c:cat>
          <c:val>
            <c:numRef>
              <c:f>'Control Chart'!$C$5:$C$20</c:f>
              <c:numCache>
                <c:formatCode>General</c:formatCode>
                <c:ptCount val="16"/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14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10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"Promedio X̄=7.6d"</c:f>
              <c:strCache>
                <c:ptCount val="1"/>
                <c:pt idx="0">
                  <c:v>Promedio X̄=7.6d</c:v>
                </c:pt>
              </c:strCache>
            </c:strRef>
          </c:tx>
          <c:spPr>
            <a:solidFill>
              <a:srgbClr val="70ad47"/>
            </a:solidFill>
            <a:ln w="1800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Chart'!$A$6:$A$20</c:f>
              <c:strCache>
                <c:ptCount val="15"/>
                <c:pt idx="0">
                  <c:v>HU-01: Autenticación JWT</c:v>
                </c:pt>
                <c:pt idx="1">
                  <c:v>HU-02: CRUD Docentes</c:v>
                </c:pt>
                <c:pt idx="2">
                  <c:v>HU-03: CRUD Cursos y Aulas</c:v>
                </c:pt>
                <c:pt idx="3">
                  <c:v>HU-04: Gestión Matrículas</c:v>
                </c:pt>
                <c:pt idx="4">
                  <c:v>HU-05: Modelado CSP (X,D,C)</c:v>
                </c:pt>
                <c:pt idx="5">
                  <c:v>HU-06: Implementar AC-3</c:v>
                </c:pt>
                <c:pt idx="6">
                  <c:v>HU-07: Backtracking + MRV + LCV</c:v>
                </c:pt>
                <c:pt idx="7">
                  <c:v>HU-08: API Generación Horarios</c:v>
                </c:pt>
                <c:pt idx="8">
                  <c:v>HU-09: Frontend Dashboard Admin</c:v>
                </c:pt>
                <c:pt idx="9">
                  <c:v>HU-10: Vista Gestión Docentes</c:v>
                </c:pt>
                <c:pt idx="10">
                  <c:v>HU-11: Vista Generación Horarios</c:v>
                </c:pt>
                <c:pt idx="11">
                  <c:v>HU-12: Portal del Alumno</c:v>
                </c:pt>
                <c:pt idx="12">
                  <c:v>HU-13: Integración E2E</c:v>
                </c:pt>
                <c:pt idx="13">
                  <c:v>HU-14: Suite TDD completa</c:v>
                </c:pt>
                <c:pt idx="14">
                  <c:v>HU-15: Documentación SDD final</c:v>
                </c:pt>
              </c:strCache>
            </c:strRef>
          </c:cat>
          <c:val>
            <c:numRef>
              <c:f>'Control Chart'!$D$5:$D$20</c:f>
              <c:numCache>
                <c:formatCode>General</c:formatCode>
                <c:ptCount val="16"/>
                <c:pt idx="1">
                  <c:v>7.6</c:v>
                </c:pt>
                <c:pt idx="2">
                  <c:v>7.6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"UCL=13.0d"</c:f>
              <c:strCache>
                <c:ptCount val="1"/>
                <c:pt idx="0">
                  <c:v>UCL=13.0d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Chart'!$A$6:$A$20</c:f>
              <c:strCache>
                <c:ptCount val="15"/>
                <c:pt idx="0">
                  <c:v>HU-01: Autenticación JWT</c:v>
                </c:pt>
                <c:pt idx="1">
                  <c:v>HU-02: CRUD Docentes</c:v>
                </c:pt>
                <c:pt idx="2">
                  <c:v>HU-03: CRUD Cursos y Aulas</c:v>
                </c:pt>
                <c:pt idx="3">
                  <c:v>HU-04: Gestión Matrículas</c:v>
                </c:pt>
                <c:pt idx="4">
                  <c:v>HU-05: Modelado CSP (X,D,C)</c:v>
                </c:pt>
                <c:pt idx="5">
                  <c:v>HU-06: Implementar AC-3</c:v>
                </c:pt>
                <c:pt idx="6">
                  <c:v>HU-07: Backtracking + MRV + LCV</c:v>
                </c:pt>
                <c:pt idx="7">
                  <c:v>HU-08: API Generación Horarios</c:v>
                </c:pt>
                <c:pt idx="8">
                  <c:v>HU-09: Frontend Dashboard Admin</c:v>
                </c:pt>
                <c:pt idx="9">
                  <c:v>HU-10: Vista Gestión Docentes</c:v>
                </c:pt>
                <c:pt idx="10">
                  <c:v>HU-11: Vista Generación Horarios</c:v>
                </c:pt>
                <c:pt idx="11">
                  <c:v>HU-12: Portal del Alumno</c:v>
                </c:pt>
                <c:pt idx="12">
                  <c:v>HU-13: Integración E2E</c:v>
                </c:pt>
                <c:pt idx="13">
                  <c:v>HU-14: Suite TDD completa</c:v>
                </c:pt>
                <c:pt idx="14">
                  <c:v>HU-15: Documentación SDD final</c:v>
                </c:pt>
              </c:strCache>
            </c:strRef>
          </c:cat>
          <c:val>
            <c:numRef>
              <c:f>'Control Chart'!$E$5:$E$20</c:f>
              <c:numCache>
                <c:formatCode>General</c:formatCode>
                <c:ptCount val="16"/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"LCL=2.2d"</c:f>
              <c:strCache>
                <c:ptCount val="1"/>
                <c:pt idx="0">
                  <c:v>LCL=2.2d</c:v>
                </c:pt>
              </c:strCache>
            </c:strRef>
          </c:tx>
          <c:spPr>
            <a:solidFill>
              <a:srgbClr val="ff6600"/>
            </a:solidFill>
            <a:ln w="15120">
              <a:solidFill>
                <a:srgbClr val="ff66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Chart'!$A$6:$A$20</c:f>
              <c:strCache>
                <c:ptCount val="15"/>
                <c:pt idx="0">
                  <c:v>HU-01: Autenticación JWT</c:v>
                </c:pt>
                <c:pt idx="1">
                  <c:v>HU-02: CRUD Docentes</c:v>
                </c:pt>
                <c:pt idx="2">
                  <c:v>HU-03: CRUD Cursos y Aulas</c:v>
                </c:pt>
                <c:pt idx="3">
                  <c:v>HU-04: Gestión Matrículas</c:v>
                </c:pt>
                <c:pt idx="4">
                  <c:v>HU-05: Modelado CSP (X,D,C)</c:v>
                </c:pt>
                <c:pt idx="5">
                  <c:v>HU-06: Implementar AC-3</c:v>
                </c:pt>
                <c:pt idx="6">
                  <c:v>HU-07: Backtracking + MRV + LCV</c:v>
                </c:pt>
                <c:pt idx="7">
                  <c:v>HU-08: API Generación Horarios</c:v>
                </c:pt>
                <c:pt idx="8">
                  <c:v>HU-09: Frontend Dashboard Admin</c:v>
                </c:pt>
                <c:pt idx="9">
                  <c:v>HU-10: Vista Gestión Docentes</c:v>
                </c:pt>
                <c:pt idx="10">
                  <c:v>HU-11: Vista Generación Horarios</c:v>
                </c:pt>
                <c:pt idx="11">
                  <c:v>HU-12: Portal del Alumno</c:v>
                </c:pt>
                <c:pt idx="12">
                  <c:v>HU-13: Integración E2E</c:v>
                </c:pt>
                <c:pt idx="13">
                  <c:v>HU-14: Suite TDD completa</c:v>
                </c:pt>
                <c:pt idx="14">
                  <c:v>HU-15: Documentación SDD final</c:v>
                </c:pt>
              </c:strCache>
            </c:strRef>
          </c:cat>
          <c:val>
            <c:numRef>
              <c:f>'Control Chart'!$F$5:$F$20</c:f>
              <c:numCache>
                <c:formatCode>General</c:formatCode>
                <c:ptCount val="16"/>
                <c:pt idx="1">
                  <c:v>2.2</c:v>
                </c:pt>
                <c:pt idx="2">
                  <c:v>2.2</c:v>
                </c:pt>
                <c:pt idx="3">
                  <c:v>2.2</c:v>
                </c:pt>
                <c:pt idx="4">
                  <c:v>2.2</c:v>
                </c:pt>
                <c:pt idx="5">
                  <c:v>2.2</c:v>
                </c:pt>
                <c:pt idx="6">
                  <c:v>2.2</c:v>
                </c:pt>
                <c:pt idx="7">
                  <c:v>2.2</c:v>
                </c:pt>
                <c:pt idx="8">
                  <c:v>2.2</c:v>
                </c:pt>
                <c:pt idx="9">
                  <c:v>2.2</c:v>
                </c:pt>
                <c:pt idx="10">
                  <c:v>2.2</c:v>
                </c:pt>
                <c:pt idx="11">
                  <c:v>2.2</c:v>
                </c:pt>
                <c:pt idx="12">
                  <c:v>2.2</c:v>
                </c:pt>
                <c:pt idx="13">
                  <c:v>2.2</c:v>
                </c:pt>
                <c:pt idx="14">
                  <c:v>2.2</c:v>
                </c:pt>
                <c:pt idx="15">
                  <c:v>2.2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133867"/>
        <c:axId val="1709545"/>
      </c:lineChart>
      <c:catAx>
        <c:axId val="231338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Historia de Usuario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9545"/>
        <c:crosses val="autoZero"/>
        <c:auto val="1"/>
        <c:lblAlgn val="ctr"/>
        <c:lblOffset val="100"/>
        <c:noMultiLvlLbl val="0"/>
      </c:catAx>
      <c:valAx>
        <c:axId val="17095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338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6</xdr:col>
      <xdr:colOff>88200</xdr:colOff>
      <xdr:row>31</xdr:row>
      <xdr:rowOff>642960</xdr:rowOff>
    </xdr:to>
    <xdr:graphicFrame>
      <xdr:nvGraphicFramePr>
        <xdr:cNvPr id="0" name="Chart 1"/>
        <xdr:cNvGraphicFramePr/>
      </xdr:nvGraphicFramePr>
      <xdr:xfrm>
        <a:off x="0" y="26478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5</xdr:col>
      <xdr:colOff>276840</xdr:colOff>
      <xdr:row>31</xdr:row>
      <xdr:rowOff>642960</xdr:rowOff>
    </xdr:to>
    <xdr:graphicFrame>
      <xdr:nvGraphicFramePr>
        <xdr:cNvPr id="1" name="Chart 1"/>
        <xdr:cNvGraphicFramePr/>
      </xdr:nvGraphicFramePr>
      <xdr:xfrm>
        <a:off x="0" y="26478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5</xdr:col>
      <xdr:colOff>558720</xdr:colOff>
      <xdr:row>33</xdr:row>
      <xdr:rowOff>452520</xdr:rowOff>
    </xdr:to>
    <xdr:graphicFrame>
      <xdr:nvGraphicFramePr>
        <xdr:cNvPr id="2" name="Chart 1"/>
        <xdr:cNvGraphicFramePr/>
      </xdr:nvGraphicFramePr>
      <xdr:xfrm>
        <a:off x="0" y="28954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156240</xdr:rowOff>
    </xdr:from>
    <xdr:to>
      <xdr:col>6</xdr:col>
      <xdr:colOff>151200</xdr:colOff>
      <xdr:row>40</xdr:row>
      <xdr:rowOff>418320</xdr:rowOff>
    </xdr:to>
    <xdr:graphicFrame>
      <xdr:nvGraphicFramePr>
        <xdr:cNvPr id="3" name="Chart 1"/>
        <xdr:cNvGraphicFramePr/>
      </xdr:nvGraphicFramePr>
      <xdr:xfrm>
        <a:off x="0" y="43624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7" t="n">
        <v>120</v>
      </c>
      <c r="D6" s="8" t="n">
        <v>120</v>
      </c>
      <c r="E6" s="9" t="s">
        <v>10</v>
      </c>
    </row>
    <row r="7" customFormat="false" ht="15" hidden="false" customHeight="false" outlineLevel="0" collapsed="false">
      <c r="A7" s="10" t="s">
        <v>11</v>
      </c>
      <c r="B7" s="11" t="s">
        <v>12</v>
      </c>
      <c r="C7" s="12" t="n">
        <v>100</v>
      </c>
      <c r="D7" s="13" t="n">
        <v>102</v>
      </c>
      <c r="E7" s="13" t="s">
        <v>13</v>
      </c>
    </row>
    <row r="8" customFormat="false" ht="15" hidden="false" customHeight="false" outlineLevel="0" collapsed="false">
      <c r="A8" s="14" t="s">
        <v>14</v>
      </c>
      <c r="B8" s="6" t="s">
        <v>15</v>
      </c>
      <c r="C8" s="7" t="n">
        <v>80</v>
      </c>
      <c r="D8" s="15" t="n">
        <v>83</v>
      </c>
      <c r="E8" s="15" t="s">
        <v>16</v>
      </c>
    </row>
    <row r="9" customFormat="false" ht="15" hidden="false" customHeight="false" outlineLevel="0" collapsed="false">
      <c r="A9" s="10" t="s">
        <v>17</v>
      </c>
      <c r="B9" s="11" t="s">
        <v>18</v>
      </c>
      <c r="C9" s="12" t="n">
        <v>44</v>
      </c>
      <c r="D9" s="13" t="n">
        <v>50</v>
      </c>
      <c r="E9" s="13" t="s">
        <v>19</v>
      </c>
    </row>
    <row r="10" customFormat="false" ht="15" hidden="false" customHeight="false" outlineLevel="0" collapsed="false">
      <c r="A10" s="14" t="s">
        <v>20</v>
      </c>
      <c r="B10" s="6" t="s">
        <v>21</v>
      </c>
      <c r="C10" s="7" t="n">
        <v>8</v>
      </c>
      <c r="D10" s="15" t="n">
        <v>15</v>
      </c>
      <c r="E10" s="15" t="s">
        <v>22</v>
      </c>
    </row>
    <row r="11" customFormat="false" ht="15" hidden="false" customHeight="false" outlineLevel="0" collapsed="false">
      <c r="A11" s="10" t="s">
        <v>23</v>
      </c>
      <c r="B11" s="11" t="s">
        <v>24</v>
      </c>
      <c r="C11" s="12" t="n">
        <v>0</v>
      </c>
      <c r="D11" s="13" t="n">
        <v>2</v>
      </c>
      <c r="E11" s="13" t="s">
        <v>13</v>
      </c>
    </row>
    <row r="31" customFormat="false" ht="19.5" hidden="false" customHeight="true" outlineLevel="0" collapsed="false">
      <c r="A31" s="16" t="s">
        <v>25</v>
      </c>
      <c r="B31" s="16"/>
      <c r="C31" s="16"/>
      <c r="D31" s="16"/>
      <c r="E31" s="16"/>
    </row>
    <row r="32" customFormat="false" ht="90" hidden="false" customHeight="true" outlineLevel="0" collapsed="false">
      <c r="A32" s="17" t="s">
        <v>26</v>
      </c>
      <c r="B32" s="17"/>
      <c r="C32" s="17"/>
      <c r="D32" s="17"/>
      <c r="E32" s="17"/>
    </row>
  </sheetData>
  <mergeCells count="5">
    <mergeCell ref="A1:E1"/>
    <mergeCell ref="A2:E2"/>
    <mergeCell ref="A4:E4"/>
    <mergeCell ref="A31:E3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5" min="3" style="0" width="18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18" t="s">
        <v>27</v>
      </c>
      <c r="B1" s="18"/>
      <c r="C1" s="18"/>
      <c r="D1" s="18"/>
      <c r="E1" s="18"/>
      <c r="F1" s="18"/>
    </row>
    <row r="2" customFormat="false" ht="15.75" hidden="false" customHeight="true" outlineLevel="0" collapsed="false">
      <c r="A2" s="19" t="s">
        <v>28</v>
      </c>
      <c r="B2" s="19"/>
      <c r="C2" s="19"/>
      <c r="D2" s="19"/>
      <c r="E2" s="19"/>
      <c r="F2" s="19"/>
    </row>
    <row r="4" customFormat="false" ht="19.5" hidden="false" customHeight="true" outlineLevel="0" collapsed="false">
      <c r="A4" s="20" t="s">
        <v>29</v>
      </c>
      <c r="B4" s="20"/>
      <c r="C4" s="20"/>
      <c r="D4" s="20"/>
      <c r="E4" s="20"/>
      <c r="F4" s="20"/>
    </row>
    <row r="5" customFormat="false" ht="21.75" hidden="false" customHeight="true" outlineLevel="0" collapsed="false">
      <c r="A5" s="21" t="s">
        <v>3</v>
      </c>
      <c r="B5" s="21" t="s">
        <v>4</v>
      </c>
      <c r="C5" s="21" t="s">
        <v>30</v>
      </c>
      <c r="D5" s="21" t="s">
        <v>31</v>
      </c>
      <c r="E5" s="21" t="s">
        <v>32</v>
      </c>
      <c r="F5" s="21" t="s">
        <v>33</v>
      </c>
    </row>
    <row r="6" customFormat="false" ht="15" hidden="false" customHeight="false" outlineLevel="0" collapsed="false">
      <c r="A6" s="5" t="s">
        <v>8</v>
      </c>
      <c r="B6" s="6" t="s">
        <v>9</v>
      </c>
      <c r="C6" s="22" t="n">
        <v>120</v>
      </c>
      <c r="D6" s="7" t="n">
        <v>0</v>
      </c>
      <c r="E6" s="9" t="n">
        <v>0</v>
      </c>
      <c r="F6" s="23" t="n">
        <v>0</v>
      </c>
    </row>
    <row r="7" customFormat="false" ht="15" hidden="false" customHeight="false" outlineLevel="0" collapsed="false">
      <c r="A7" s="10" t="s">
        <v>11</v>
      </c>
      <c r="B7" s="11" t="s">
        <v>12</v>
      </c>
      <c r="C7" s="24" t="n">
        <v>120</v>
      </c>
      <c r="D7" s="12" t="n">
        <v>20</v>
      </c>
      <c r="E7" s="25" t="n">
        <v>18</v>
      </c>
      <c r="F7" s="26" t="n">
        <v>0.15</v>
      </c>
    </row>
    <row r="8" customFormat="false" ht="15" hidden="false" customHeight="false" outlineLevel="0" collapsed="false">
      <c r="A8" s="14" t="s">
        <v>14</v>
      </c>
      <c r="B8" s="6" t="s">
        <v>15</v>
      </c>
      <c r="C8" s="22" t="n">
        <v>120</v>
      </c>
      <c r="D8" s="7" t="n">
        <v>40</v>
      </c>
      <c r="E8" s="9" t="n">
        <v>37</v>
      </c>
      <c r="F8" s="23" t="n">
        <v>0.308333333333333</v>
      </c>
    </row>
    <row r="9" customFormat="false" ht="15" hidden="false" customHeight="false" outlineLevel="0" collapsed="false">
      <c r="A9" s="10" t="s">
        <v>17</v>
      </c>
      <c r="B9" s="11" t="s">
        <v>18</v>
      </c>
      <c r="C9" s="24" t="n">
        <v>120</v>
      </c>
      <c r="D9" s="12" t="n">
        <v>76</v>
      </c>
      <c r="E9" s="25" t="n">
        <v>70</v>
      </c>
      <c r="F9" s="26" t="n">
        <v>0.583333333333333</v>
      </c>
    </row>
    <row r="10" customFormat="false" ht="15" hidden="false" customHeight="false" outlineLevel="0" collapsed="false">
      <c r="A10" s="14" t="s">
        <v>20</v>
      </c>
      <c r="B10" s="6" t="s">
        <v>21</v>
      </c>
      <c r="C10" s="22" t="n">
        <v>120</v>
      </c>
      <c r="D10" s="7" t="n">
        <v>112</v>
      </c>
      <c r="E10" s="9" t="n">
        <v>105</v>
      </c>
      <c r="F10" s="23" t="n">
        <v>0.875</v>
      </c>
    </row>
    <row r="11" customFormat="false" ht="15" hidden="false" customHeight="false" outlineLevel="0" collapsed="false">
      <c r="A11" s="10" t="s">
        <v>23</v>
      </c>
      <c r="B11" s="11" t="s">
        <v>24</v>
      </c>
      <c r="C11" s="24" t="n">
        <v>120</v>
      </c>
      <c r="D11" s="12" t="n">
        <v>120</v>
      </c>
      <c r="E11" s="25" t="n">
        <v>118</v>
      </c>
      <c r="F11" s="27" t="n">
        <v>0.983333333333333</v>
      </c>
    </row>
    <row r="31" customFormat="false" ht="19.5" hidden="false" customHeight="true" outlineLevel="0" collapsed="false">
      <c r="A31" s="16" t="s">
        <v>34</v>
      </c>
      <c r="B31" s="16"/>
      <c r="C31" s="16"/>
      <c r="D31" s="16"/>
      <c r="E31" s="16"/>
      <c r="F31" s="16"/>
    </row>
    <row r="32" customFormat="false" ht="90" hidden="false" customHeight="true" outlineLevel="0" collapsed="false">
      <c r="A32" s="28" t="s">
        <v>35</v>
      </c>
      <c r="B32" s="28"/>
      <c r="C32" s="28"/>
      <c r="D32" s="28"/>
      <c r="E32" s="28"/>
      <c r="F32" s="28"/>
    </row>
  </sheetData>
  <mergeCells count="5">
    <mergeCell ref="A1:F1"/>
    <mergeCell ref="A2:F2"/>
    <mergeCell ref="A4:F4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18" t="s">
        <v>36</v>
      </c>
      <c r="B1" s="18"/>
      <c r="C1" s="18"/>
      <c r="D1" s="18"/>
      <c r="E1" s="18"/>
      <c r="F1" s="18"/>
    </row>
    <row r="2" customFormat="false" ht="15.75" hidden="false" customHeight="true" outlineLevel="0" collapsed="false">
      <c r="A2" s="19" t="s">
        <v>37</v>
      </c>
      <c r="B2" s="19"/>
      <c r="C2" s="19"/>
      <c r="D2" s="19"/>
      <c r="E2" s="19"/>
      <c r="F2" s="19"/>
    </row>
    <row r="4" customFormat="false" ht="19.5" hidden="false" customHeight="true" outlineLevel="0" collapsed="false">
      <c r="A4" s="20" t="s">
        <v>38</v>
      </c>
      <c r="B4" s="20"/>
      <c r="C4" s="20"/>
      <c r="D4" s="20"/>
      <c r="E4" s="20"/>
      <c r="F4" s="20"/>
    </row>
    <row r="5" customFormat="false" ht="21.75" hidden="false" customHeight="true" outlineLevel="0" collapsed="false">
      <c r="A5" s="21" t="s">
        <v>39</v>
      </c>
      <c r="B5" s="21" t="s">
        <v>40</v>
      </c>
      <c r="C5" s="21" t="s">
        <v>41</v>
      </c>
      <c r="D5" s="21" t="s">
        <v>42</v>
      </c>
      <c r="E5" s="21" t="s">
        <v>43</v>
      </c>
      <c r="F5" s="21" t="s">
        <v>44</v>
      </c>
    </row>
    <row r="6" customFormat="false" ht="15" hidden="false" customHeight="false" outlineLevel="0" collapsed="false">
      <c r="A6" s="5" t="s">
        <v>11</v>
      </c>
      <c r="B6" s="6" t="s">
        <v>45</v>
      </c>
      <c r="C6" s="7" t="n">
        <v>20</v>
      </c>
      <c r="D6" s="9" t="n">
        <v>18</v>
      </c>
      <c r="E6" s="15" t="s">
        <v>46</v>
      </c>
      <c r="F6" s="29" t="n">
        <v>0.9</v>
      </c>
    </row>
    <row r="7" customFormat="false" ht="15" hidden="false" customHeight="false" outlineLevel="0" collapsed="false">
      <c r="A7" s="30" t="s">
        <v>14</v>
      </c>
      <c r="B7" s="11" t="s">
        <v>47</v>
      </c>
      <c r="C7" s="12" t="n">
        <v>20</v>
      </c>
      <c r="D7" s="25" t="n">
        <v>19</v>
      </c>
      <c r="E7" s="13" t="s">
        <v>48</v>
      </c>
      <c r="F7" s="27" t="n">
        <v>0.95</v>
      </c>
    </row>
    <row r="8" customFormat="false" ht="15" hidden="false" customHeight="false" outlineLevel="0" collapsed="false">
      <c r="A8" s="5" t="s">
        <v>17</v>
      </c>
      <c r="B8" s="6" t="s">
        <v>49</v>
      </c>
      <c r="C8" s="7" t="n">
        <v>36</v>
      </c>
      <c r="D8" s="9" t="n">
        <v>33</v>
      </c>
      <c r="E8" s="15" t="s">
        <v>50</v>
      </c>
      <c r="F8" s="29" t="n">
        <v>0.916666666666667</v>
      </c>
    </row>
    <row r="9" customFormat="false" ht="15" hidden="false" customHeight="false" outlineLevel="0" collapsed="false">
      <c r="A9" s="30" t="s">
        <v>20</v>
      </c>
      <c r="B9" s="11" t="s">
        <v>51</v>
      </c>
      <c r="C9" s="12" t="n">
        <v>36</v>
      </c>
      <c r="D9" s="25" t="n">
        <v>35</v>
      </c>
      <c r="E9" s="13" t="s">
        <v>48</v>
      </c>
      <c r="F9" s="27" t="n">
        <v>0.972222222222222</v>
      </c>
    </row>
    <row r="10" customFormat="false" ht="15" hidden="false" customHeight="false" outlineLevel="0" collapsed="false">
      <c r="A10" s="5" t="s">
        <v>23</v>
      </c>
      <c r="B10" s="6" t="s">
        <v>24</v>
      </c>
      <c r="C10" s="7" t="n">
        <v>8</v>
      </c>
      <c r="D10" s="9" t="n">
        <v>13</v>
      </c>
      <c r="E10" s="9" t="s">
        <v>52</v>
      </c>
      <c r="F10" s="29" t="n">
        <v>1.625</v>
      </c>
    </row>
    <row r="11" customFormat="false" ht="15" hidden="false" customHeight="false" outlineLevel="0" collapsed="false">
      <c r="A11" s="31"/>
      <c r="B11" s="31"/>
      <c r="C11" s="31"/>
      <c r="D11" s="31"/>
      <c r="E11" s="31"/>
      <c r="F11" s="31"/>
    </row>
    <row r="12" customFormat="false" ht="19.5" hidden="false" customHeight="true" outlineLevel="0" collapsed="false">
      <c r="A12" s="3" t="s">
        <v>53</v>
      </c>
      <c r="B12" s="3"/>
      <c r="C12" s="3"/>
      <c r="D12" s="3"/>
      <c r="E12" s="3"/>
      <c r="F12" s="3"/>
    </row>
    <row r="33" customFormat="false" ht="19.5" hidden="false" customHeight="true" outlineLevel="0" collapsed="false">
      <c r="A33" s="16" t="s">
        <v>54</v>
      </c>
      <c r="B33" s="16"/>
      <c r="C33" s="16"/>
      <c r="D33" s="16"/>
      <c r="E33" s="16"/>
      <c r="F33" s="16"/>
    </row>
    <row r="34" customFormat="false" ht="90" hidden="false" customHeight="true" outlineLevel="0" collapsed="false">
      <c r="A34" s="28" t="s">
        <v>55</v>
      </c>
      <c r="B34" s="28"/>
      <c r="C34" s="28"/>
      <c r="D34" s="28"/>
      <c r="E34" s="28"/>
      <c r="F34" s="28"/>
    </row>
  </sheetData>
  <mergeCells count="6">
    <mergeCell ref="A1:F1"/>
    <mergeCell ref="A2:F2"/>
    <mergeCell ref="A4:F4"/>
    <mergeCell ref="A12:F12"/>
    <mergeCell ref="A33:F33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4" style="0" width="14"/>
  </cols>
  <sheetData>
    <row r="1" customFormat="false" ht="31.5" hidden="false" customHeight="true" outlineLevel="0" collapsed="false">
      <c r="A1" s="1" t="s">
        <v>56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57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58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4" t="s">
        <v>59</v>
      </c>
      <c r="B5" s="4" t="s">
        <v>39</v>
      </c>
      <c r="C5" s="4" t="s">
        <v>60</v>
      </c>
      <c r="D5" s="4" t="s">
        <v>61</v>
      </c>
      <c r="E5" s="4" t="s">
        <v>62</v>
      </c>
      <c r="F5" s="4" t="s">
        <v>63</v>
      </c>
    </row>
    <row r="6" customFormat="false" ht="15" hidden="false" customHeight="false" outlineLevel="0" collapsed="false">
      <c r="A6" s="14" t="s">
        <v>64</v>
      </c>
      <c r="B6" s="6" t="s">
        <v>11</v>
      </c>
      <c r="C6" s="9" t="n">
        <v>5</v>
      </c>
      <c r="D6" s="32" t="n">
        <v>7.6</v>
      </c>
      <c r="E6" s="33" t="n">
        <v>13</v>
      </c>
      <c r="F6" s="34" t="n">
        <v>2.2</v>
      </c>
    </row>
    <row r="7" customFormat="false" ht="15" hidden="false" customHeight="false" outlineLevel="0" collapsed="false">
      <c r="A7" s="10" t="s">
        <v>65</v>
      </c>
      <c r="B7" s="11" t="s">
        <v>11</v>
      </c>
      <c r="C7" s="25" t="n">
        <v>7</v>
      </c>
      <c r="D7" s="35" t="n">
        <v>7.6</v>
      </c>
      <c r="E7" s="36" t="n">
        <v>13</v>
      </c>
      <c r="F7" s="37" t="n">
        <v>2.2</v>
      </c>
    </row>
    <row r="8" customFormat="false" ht="15" hidden="false" customHeight="false" outlineLevel="0" collapsed="false">
      <c r="A8" s="14" t="s">
        <v>66</v>
      </c>
      <c r="B8" s="6" t="s">
        <v>14</v>
      </c>
      <c r="C8" s="9" t="n">
        <v>6</v>
      </c>
      <c r="D8" s="32" t="n">
        <v>7.6</v>
      </c>
      <c r="E8" s="33" t="n">
        <v>13</v>
      </c>
      <c r="F8" s="34" t="n">
        <v>2.2</v>
      </c>
    </row>
    <row r="9" customFormat="false" ht="15" hidden="false" customHeight="false" outlineLevel="0" collapsed="false">
      <c r="A9" s="10" t="s">
        <v>67</v>
      </c>
      <c r="B9" s="11" t="s">
        <v>14</v>
      </c>
      <c r="C9" s="38" t="n">
        <v>8</v>
      </c>
      <c r="D9" s="35" t="n">
        <v>7.6</v>
      </c>
      <c r="E9" s="36" t="n">
        <v>13</v>
      </c>
      <c r="F9" s="37" t="n">
        <v>2.2</v>
      </c>
    </row>
    <row r="10" customFormat="false" ht="15" hidden="false" customHeight="false" outlineLevel="0" collapsed="false">
      <c r="A10" s="14" t="s">
        <v>68</v>
      </c>
      <c r="B10" s="6" t="s">
        <v>17</v>
      </c>
      <c r="C10" s="39" t="n">
        <v>9</v>
      </c>
      <c r="D10" s="32" t="n">
        <v>7.6</v>
      </c>
      <c r="E10" s="33" t="n">
        <v>13</v>
      </c>
      <c r="F10" s="34" t="n">
        <v>2.2</v>
      </c>
    </row>
    <row r="11" customFormat="false" ht="15" hidden="false" customHeight="false" outlineLevel="0" collapsed="false">
      <c r="A11" s="10" t="s">
        <v>69</v>
      </c>
      <c r="B11" s="11" t="s">
        <v>17</v>
      </c>
      <c r="C11" s="38" t="n">
        <v>11</v>
      </c>
      <c r="D11" s="35" t="n">
        <v>7.6</v>
      </c>
      <c r="E11" s="36" t="n">
        <v>13</v>
      </c>
      <c r="F11" s="37" t="n">
        <v>2.2</v>
      </c>
    </row>
    <row r="12" customFormat="false" ht="23.85" hidden="false" customHeight="false" outlineLevel="0" collapsed="false">
      <c r="A12" s="14" t="s">
        <v>70</v>
      </c>
      <c r="B12" s="6" t="s">
        <v>17</v>
      </c>
      <c r="C12" s="15" t="n">
        <v>14</v>
      </c>
      <c r="D12" s="32" t="n">
        <v>7.6</v>
      </c>
      <c r="E12" s="33" t="n">
        <v>13</v>
      </c>
      <c r="F12" s="34" t="n">
        <v>2.2</v>
      </c>
    </row>
    <row r="13" customFormat="false" ht="15" hidden="false" customHeight="false" outlineLevel="0" collapsed="false">
      <c r="A13" s="10" t="s">
        <v>71</v>
      </c>
      <c r="B13" s="11" t="s">
        <v>17</v>
      </c>
      <c r="C13" s="38" t="n">
        <v>8</v>
      </c>
      <c r="D13" s="35" t="n">
        <v>7.6</v>
      </c>
      <c r="E13" s="36" t="n">
        <v>13</v>
      </c>
      <c r="F13" s="37" t="n">
        <v>2.2</v>
      </c>
    </row>
    <row r="14" customFormat="false" ht="23.85" hidden="false" customHeight="false" outlineLevel="0" collapsed="false">
      <c r="A14" s="14" t="s">
        <v>72</v>
      </c>
      <c r="B14" s="6" t="s">
        <v>20</v>
      </c>
      <c r="C14" s="9" t="n">
        <v>7</v>
      </c>
      <c r="D14" s="32" t="n">
        <v>7.6</v>
      </c>
      <c r="E14" s="33" t="n">
        <v>13</v>
      </c>
      <c r="F14" s="34" t="n">
        <v>2.2</v>
      </c>
    </row>
    <row r="15" customFormat="false" ht="15" hidden="false" customHeight="false" outlineLevel="0" collapsed="false">
      <c r="A15" s="10" t="s">
        <v>73</v>
      </c>
      <c r="B15" s="11" t="s">
        <v>20</v>
      </c>
      <c r="C15" s="25" t="n">
        <v>5</v>
      </c>
      <c r="D15" s="35" t="n">
        <v>7.6</v>
      </c>
      <c r="E15" s="36" t="n">
        <v>13</v>
      </c>
      <c r="F15" s="37" t="n">
        <v>2.2</v>
      </c>
    </row>
    <row r="16" customFormat="false" ht="15" hidden="false" customHeight="false" outlineLevel="0" collapsed="false">
      <c r="A16" s="14" t="s">
        <v>74</v>
      </c>
      <c r="B16" s="6" t="s">
        <v>20</v>
      </c>
      <c r="C16" s="39" t="n">
        <v>9</v>
      </c>
      <c r="D16" s="32" t="n">
        <v>7.6</v>
      </c>
      <c r="E16" s="33" t="n">
        <v>13</v>
      </c>
      <c r="F16" s="34" t="n">
        <v>2.2</v>
      </c>
    </row>
    <row r="17" customFormat="false" ht="15" hidden="false" customHeight="false" outlineLevel="0" collapsed="false">
      <c r="A17" s="10" t="s">
        <v>75</v>
      </c>
      <c r="B17" s="11" t="s">
        <v>20</v>
      </c>
      <c r="C17" s="38" t="n">
        <v>10</v>
      </c>
      <c r="D17" s="35" t="n">
        <v>7.6</v>
      </c>
      <c r="E17" s="36" t="n">
        <v>13</v>
      </c>
      <c r="F17" s="37" t="n">
        <v>2.2</v>
      </c>
    </row>
    <row r="18" customFormat="false" ht="15" hidden="false" customHeight="false" outlineLevel="0" collapsed="false">
      <c r="A18" s="14" t="s">
        <v>76</v>
      </c>
      <c r="B18" s="6" t="s">
        <v>23</v>
      </c>
      <c r="C18" s="9" t="n">
        <v>6</v>
      </c>
      <c r="D18" s="32" t="n">
        <v>7.6</v>
      </c>
      <c r="E18" s="33" t="n">
        <v>13</v>
      </c>
      <c r="F18" s="34" t="n">
        <v>2.2</v>
      </c>
    </row>
    <row r="19" customFormat="false" ht="15" hidden="false" customHeight="false" outlineLevel="0" collapsed="false">
      <c r="A19" s="10" t="s">
        <v>77</v>
      </c>
      <c r="B19" s="11" t="s">
        <v>23</v>
      </c>
      <c r="C19" s="25" t="n">
        <v>5</v>
      </c>
      <c r="D19" s="35" t="n">
        <v>7.6</v>
      </c>
      <c r="E19" s="36" t="n">
        <v>13</v>
      </c>
      <c r="F19" s="37" t="n">
        <v>2.2</v>
      </c>
    </row>
    <row r="20" customFormat="false" ht="15" hidden="false" customHeight="false" outlineLevel="0" collapsed="false">
      <c r="A20" s="14" t="s">
        <v>78</v>
      </c>
      <c r="B20" s="6" t="s">
        <v>23</v>
      </c>
      <c r="C20" s="9" t="n">
        <v>4</v>
      </c>
      <c r="D20" s="32" t="n">
        <v>7.6</v>
      </c>
      <c r="E20" s="33" t="n">
        <v>13</v>
      </c>
      <c r="F20" s="34" t="n">
        <v>2.2</v>
      </c>
    </row>
    <row r="40" customFormat="false" ht="19.5" hidden="false" customHeight="true" outlineLevel="0" collapsed="false">
      <c r="A40" s="16" t="s">
        <v>79</v>
      </c>
      <c r="B40" s="16"/>
      <c r="C40" s="16"/>
      <c r="D40" s="16"/>
      <c r="E40" s="16"/>
      <c r="F40" s="16"/>
    </row>
    <row r="41" customFormat="false" ht="90" hidden="false" customHeight="true" outlineLevel="0" collapsed="false">
      <c r="A41" s="17" t="s">
        <v>80</v>
      </c>
      <c r="B41" s="17"/>
      <c r="C41" s="17"/>
      <c r="D41" s="17"/>
      <c r="E41" s="17"/>
      <c r="F41" s="17"/>
    </row>
  </sheetData>
  <mergeCells count="5">
    <mergeCell ref="A1:F1"/>
    <mergeCell ref="A2:F2"/>
    <mergeCell ref="A4:F4"/>
    <mergeCell ref="A40:F40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</cols>
  <sheetData>
    <row r="1" customFormat="false" ht="31.5" hidden="false" customHeight="true" outlineLevel="0" collapsed="false">
      <c r="A1" s="1" t="s">
        <v>81</v>
      </c>
      <c r="B1" s="1"/>
    </row>
    <row r="2" customFormat="false" ht="15.75" hidden="false" customHeight="true" outlineLevel="0" collapsed="false">
      <c r="A2" s="2" t="s">
        <v>82</v>
      </c>
      <c r="B2" s="2"/>
    </row>
    <row r="4" customFormat="false" ht="21.75" hidden="false" customHeight="true" outlineLevel="0" collapsed="false">
      <c r="A4" s="3" t="s">
        <v>83</v>
      </c>
      <c r="B4" s="3"/>
    </row>
    <row r="5" customFormat="false" ht="90" hidden="false" customHeight="true" outlineLevel="0" collapsed="false">
      <c r="A5" s="40" t="s">
        <v>84</v>
      </c>
      <c r="B5" s="40"/>
    </row>
    <row r="6" customFormat="false" ht="6" hidden="false" customHeight="true" outlineLevel="0" collapsed="false">
      <c r="A6" s="31"/>
      <c r="B6" s="31"/>
    </row>
    <row r="7" customFormat="false" ht="21.75" hidden="false" customHeight="true" outlineLevel="0" collapsed="false">
      <c r="A7" s="41" t="s">
        <v>85</v>
      </c>
      <c r="B7" s="41"/>
    </row>
    <row r="8" customFormat="false" ht="90" hidden="false" customHeight="true" outlineLevel="0" collapsed="false">
      <c r="A8" s="40" t="s">
        <v>86</v>
      </c>
      <c r="B8" s="40"/>
    </row>
    <row r="9" customFormat="false" ht="6" hidden="false" customHeight="true" outlineLevel="0" collapsed="false">
      <c r="A9" s="31"/>
      <c r="B9" s="31"/>
    </row>
    <row r="10" customFormat="false" ht="21.75" hidden="false" customHeight="true" outlineLevel="0" collapsed="false">
      <c r="A10" s="20" t="s">
        <v>87</v>
      </c>
      <c r="B10" s="20"/>
    </row>
    <row r="11" customFormat="false" ht="79.5" hidden="false" customHeight="true" outlineLevel="0" collapsed="false">
      <c r="A11" s="40" t="s">
        <v>88</v>
      </c>
      <c r="B11" s="40"/>
    </row>
    <row r="12" customFormat="false" ht="6" hidden="false" customHeight="true" outlineLevel="0" collapsed="false">
      <c r="A12" s="31"/>
      <c r="B12" s="31"/>
    </row>
    <row r="13" customFormat="false" ht="21.75" hidden="false" customHeight="true" outlineLevel="0" collapsed="false">
      <c r="A13" s="42" t="s">
        <v>89</v>
      </c>
      <c r="B13" s="42"/>
    </row>
    <row r="14" customFormat="false" ht="90" hidden="false" customHeight="true" outlineLevel="0" collapsed="false">
      <c r="A14" s="40" t="s">
        <v>90</v>
      </c>
      <c r="B14" s="40"/>
    </row>
    <row r="15" customFormat="false" ht="6" hidden="false" customHeight="true" outlineLevel="0" collapsed="false">
      <c r="A15" s="31"/>
      <c r="B15" s="31"/>
    </row>
    <row r="16" customFormat="false" ht="21.75" hidden="false" customHeight="true" outlineLevel="0" collapsed="false">
      <c r="A16" s="43" t="s">
        <v>91</v>
      </c>
      <c r="B16" s="43"/>
    </row>
    <row r="17" customFormat="false" ht="90" hidden="false" customHeight="true" outlineLevel="0" collapsed="false">
      <c r="A17" s="40" t="s">
        <v>92</v>
      </c>
      <c r="B17" s="40"/>
    </row>
    <row r="18" customFormat="false" ht="6" hidden="false" customHeight="true" outlineLevel="0" collapsed="false">
      <c r="A18" s="31"/>
      <c r="B18" s="31"/>
    </row>
  </sheetData>
  <mergeCells count="12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2026-05-04T14:50:29Z</dcterms:created>
  <dc:creator>openpyxl</dc:creator>
  <dc:description/>
  <dc:language>en-US</dc:language>
  <cp:lastModifiedBy/>
  <dcterms:modified xsi:type="dcterms:W3CDTF">2026-05-04T14:50:33Z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